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10xds-my.sharepoint.com/personal/anitta_shaji_10xds_com/Documents/"/>
    </mc:Choice>
  </mc:AlternateContent>
  <xr:revisionPtr revIDLastSave="38" documentId="8_{817CF8FF-3354-4089-9C2D-E95CF51572D2}" xr6:coauthVersionLast="47" xr6:coauthVersionMax="47" xr10:uidLastSave="{0AB3363F-AF08-4C39-ABF6-D78B7429BE25}"/>
  <bookViews>
    <workbookView xWindow="-110" yWindow="-110" windowWidth="19420" windowHeight="10300" firstSheet="4" activeTab="4" xr2:uid="{00000000-000D-0000-FFFF-FFFF00000000}"/>
  </bookViews>
  <sheets>
    <sheet name="Petty Cash Log - '17-18" sheetId="1" state="hidden" r:id="rId1"/>
    <sheet name="Petty Cash Log -'18-19" sheetId="3" state="hidden" r:id="rId2"/>
    <sheet name="Petty Cash Log -'19-20" sheetId="6" state="hidden" r:id="rId3"/>
    <sheet name="Petty Cash Log -'20-21" sheetId="7" state="hidden" r:id="rId4"/>
    <sheet name="10xDS WLL Petty Cash log - 2025" sheetId="9" r:id="rId5"/>
    <sheet name="Petty Cash log - 21-22" sheetId="8" state="hidden" r:id="rId6"/>
  </sheets>
  <definedNames>
    <definedName name="_xlnm.Print_Titles" localSheetId="0">'Petty Cash Log - ''17-18'!$5:$5</definedName>
    <definedName name="_xlnm.Print_Titles" localSheetId="1">'Petty Cash Log -''18-19'!$5:$5</definedName>
    <definedName name="_xlnm.Print_Titles" localSheetId="2">'Petty Cash Log -''19-20'!$5:$5</definedName>
    <definedName name="_xlnm.Print_Titles" localSheetId="3">'Petty Cash Log -''20-21'!$5:$5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9" l="1"/>
  <c r="F123" i="9" l="1"/>
  <c r="D76" i="8"/>
  <c r="D79" i="8" s="1"/>
  <c r="F79" i="8" s="1"/>
  <c r="E8" i="8"/>
  <c r="E79" i="8" s="1"/>
  <c r="B79" i="8"/>
  <c r="A3" i="8"/>
  <c r="E170" i="7"/>
  <c r="D170" i="7"/>
  <c r="B170" i="7"/>
  <c r="A3" i="7"/>
  <c r="F3" i="9" l="1"/>
  <c r="E3" i="8"/>
  <c r="E3" i="7"/>
  <c r="E83" i="6"/>
  <c r="E76" i="6" l="1"/>
  <c r="E75" i="6" l="1"/>
  <c r="E70" i="6" l="1"/>
  <c r="E67" i="6" l="1"/>
  <c r="E54" i="6" l="1"/>
  <c r="E22" i="6"/>
  <c r="E170" i="6"/>
  <c r="D170" i="6"/>
  <c r="B170" i="6"/>
  <c r="A3" i="6"/>
  <c r="A3" i="3"/>
  <c r="E51" i="3"/>
  <c r="E48" i="3"/>
  <c r="E45" i="3"/>
  <c r="E33" i="3"/>
  <c r="E28" i="3"/>
  <c r="E18" i="3"/>
  <c r="A3" i="1"/>
  <c r="B168" i="3"/>
  <c r="E168" i="3"/>
  <c r="E105" i="1"/>
  <c r="B141" i="1"/>
  <c r="D141" i="1"/>
  <c r="E82" i="1"/>
  <c r="E79" i="1"/>
  <c r="E8" i="1"/>
  <c r="E141" i="1" s="1"/>
  <c r="E3" i="1" s="1"/>
  <c r="D6" i="3" s="1"/>
  <c r="D168" i="3"/>
  <c r="E3" i="3" s="1"/>
  <c r="E3" i="6" l="1"/>
  <c r="A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AnoopT</author>
    <author>Anoop V Thomas</author>
  </authors>
  <commentList>
    <comment ref="E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AnoopT: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  <comment ref="C2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AnoopT: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  <comment ref="E2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AnoopT:</t>
        </r>
        <r>
          <rPr>
            <sz val="9"/>
            <color indexed="81"/>
            <rFont val="Tahoma"/>
            <family val="2"/>
          </rPr>
          <t xml:space="preserve">
No bill</t>
        </r>
      </text>
    </comment>
    <comment ref="C4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AnoopT: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  <comment ref="E4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AnoopT:</t>
        </r>
        <r>
          <rPr>
            <sz val="9"/>
            <color indexed="81"/>
            <rFont val="Tahoma"/>
            <family val="2"/>
          </rPr>
          <t xml:space="preserve">
No bill - paper for ECB</t>
        </r>
      </text>
    </comment>
    <comment ref="C87" authorId="1" shapeId="0" xr:uid="{8F1399B0-BD96-4113-8780-724EFA353A01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 - 2X100 for Federal Bank NDA</t>
        </r>
      </text>
    </comment>
    <comment ref="E133" authorId="1" shapeId="0" xr:uid="{39AA81F9-5C14-4AA1-8380-8CF09DC840E5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Anoop V Thomas</author>
  </authors>
  <commentList>
    <comment ref="E24" authorId="0" shapeId="0" xr:uid="{3E2E7997-0C97-49CA-9EA0-9D63D7AAEC10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  <comment ref="E25" authorId="0" shapeId="0" xr:uid="{ADF34AA0-EC6F-4790-A28A-96760144ED38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  <comment ref="E28" authorId="0" shapeId="0" xr:uid="{9B7DF00A-8767-4610-95C6-B896973B13B2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Anoop V Thomas</author>
  </authors>
  <commentList>
    <comment ref="C84" authorId="0" shapeId="0" xr:uid="{BA95DC57-9591-4658-A29F-FA2EC8190BA8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Anoop V Thomas</author>
  </authors>
  <commentList>
    <comment ref="C7" authorId="0" shapeId="0" xr:uid="{DDF96A41-B6FB-4F23-8C56-B8A64734CF81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  <comment ref="C84" authorId="0" shapeId="0" xr:uid="{575667E0-C640-4362-A5EA-18A002FE1D55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Anoop V Thomas</author>
  </authors>
  <commentList>
    <comment ref="C9" authorId="0" shapeId="0" xr:uid="{6E66108E-A03F-4163-AF76-EDADB3346184}">
      <text>
        <r>
          <rPr>
            <b/>
            <sz val="9"/>
            <color indexed="81"/>
            <rFont val="Tahoma"/>
            <family val="2"/>
          </rPr>
          <t>Anoop V Thomas:</t>
        </r>
        <r>
          <rPr>
            <sz val="9"/>
            <color indexed="81"/>
            <rFont val="Tahoma"/>
            <family val="2"/>
          </rPr>
          <t xml:space="preserve">
No bills</t>
        </r>
      </text>
    </comment>
  </commentList>
</comments>
</file>

<file path=xl/sharedStrings.xml><?xml version="1.0" encoding="utf-8"?>
<sst xmlns="http://schemas.openxmlformats.org/spreadsheetml/2006/main" count="2341" uniqueCount="954">
  <si>
    <t>Exponential Digital Solutions Pvt. Ltd. Petty Cash Log</t>
  </si>
  <si>
    <t>2017-18</t>
  </si>
  <si>
    <t>Printing &amp; Stationery</t>
  </si>
  <si>
    <t>Postage</t>
  </si>
  <si>
    <t>Balance</t>
  </si>
  <si>
    <t>Conveyance</t>
  </si>
  <si>
    <t>Employee Welfare</t>
  </si>
  <si>
    <t>Date</t>
  </si>
  <si>
    <t>Receipt No.</t>
  </si>
  <si>
    <t>Description</t>
  </si>
  <si>
    <t>Amount Deposited</t>
  </si>
  <si>
    <t>Amount Withdrawn</t>
  </si>
  <si>
    <t>Charged To</t>
  </si>
  <si>
    <t>Received By</t>
  </si>
  <si>
    <t>Approved By</t>
  </si>
  <si>
    <t>Food &amp; refreshment</t>
  </si>
  <si>
    <t>PC/17-18/1000</t>
  </si>
  <si>
    <t>B/F</t>
  </si>
  <si>
    <t>Petty cash</t>
  </si>
  <si>
    <t>Anoop Thomas</t>
  </si>
  <si>
    <t>Manoj Joseph</t>
  </si>
  <si>
    <t>Admin</t>
  </si>
  <si>
    <t>PC/17-18/1001</t>
  </si>
  <si>
    <t>Office stationary</t>
  </si>
  <si>
    <t>Premier</t>
  </si>
  <si>
    <t>PC/17-18/1002</t>
  </si>
  <si>
    <t>Water can</t>
  </si>
  <si>
    <t>Water supplier</t>
  </si>
  <si>
    <t>PC/17-18/1003</t>
  </si>
  <si>
    <t>Water bottle</t>
  </si>
  <si>
    <t>Swadesh</t>
  </si>
  <si>
    <t>PC/17-18/1004</t>
  </si>
  <si>
    <t>Water can - new connection</t>
  </si>
  <si>
    <t>SS Distributors</t>
  </si>
  <si>
    <t>PC/17-18/1005</t>
  </si>
  <si>
    <t>Dinner - Cherthala to Trivandrum</t>
  </si>
  <si>
    <t>Hotel Aryaas</t>
  </si>
  <si>
    <t>PC/17-18/1006</t>
  </si>
  <si>
    <t>Coffee &amp; Snacks - Cherthala</t>
  </si>
  <si>
    <t>Infopark Canteen</t>
  </si>
  <si>
    <t>PC/17-18/1007</t>
  </si>
  <si>
    <t>Lunch - Cherthala</t>
  </si>
  <si>
    <t>Petty cash deposit</t>
  </si>
  <si>
    <t>PC/17-18/1008</t>
  </si>
  <si>
    <t>Margin Free</t>
  </si>
  <si>
    <t>PC/17-18/1009</t>
  </si>
  <si>
    <t>Kunnil Hypermarket</t>
  </si>
  <si>
    <t>PC/17-18/1010</t>
  </si>
  <si>
    <t>Tips - lunch with Fragomen team @ Kochi</t>
  </si>
  <si>
    <t>Diwans Durbar</t>
  </si>
  <si>
    <t>PC/17-18/1011</t>
  </si>
  <si>
    <t>PC/17-18/1012</t>
  </si>
  <si>
    <t>Courier charges - Docs to Paravathi HDFC</t>
  </si>
  <si>
    <t>Proffessional Couriers</t>
  </si>
  <si>
    <t>PC/17-18/1013</t>
  </si>
  <si>
    <t>ID Card printing - Binu</t>
  </si>
  <si>
    <t>Aswathy Studio</t>
  </si>
  <si>
    <t>PC/17-18/1014</t>
  </si>
  <si>
    <t>Courier charges - Alephix docs to Hermes</t>
  </si>
  <si>
    <t>PC/17-18/1015</t>
  </si>
  <si>
    <t>PC/17-18/1016</t>
  </si>
  <si>
    <t>Ink cartridge</t>
  </si>
  <si>
    <t>Tristar Gadgets</t>
  </si>
  <si>
    <t>PC/17-18/1017</t>
  </si>
  <si>
    <t>Water can charges</t>
  </si>
  <si>
    <t>Krishna Group</t>
  </si>
  <si>
    <t>PC/17-18/1018</t>
  </si>
  <si>
    <t>ID Card printing - 10XDS</t>
  </si>
  <si>
    <t>PC/17-18/1019</t>
  </si>
  <si>
    <t>ID Card printing - Alephix</t>
  </si>
  <si>
    <t>PC/17-18/1020</t>
  </si>
  <si>
    <t>Dinner post client meeting</t>
  </si>
  <si>
    <t>Ariya Nivas</t>
  </si>
  <si>
    <t>PC/17-18/1021</t>
  </si>
  <si>
    <t>PC/17-18/1022</t>
  </si>
  <si>
    <t>Stamp paper</t>
  </si>
  <si>
    <t>Kazhakuttam vendor</t>
  </si>
  <si>
    <t>PC/17-18/1023</t>
  </si>
  <si>
    <t>Office stationery_Alephix</t>
  </si>
  <si>
    <t>Manjal - Cherthala</t>
  </si>
  <si>
    <t>PC/17-18/1024</t>
  </si>
  <si>
    <t>Courier charges - Docs to Kotak</t>
  </si>
  <si>
    <t>PC/17-18/1025</t>
  </si>
  <si>
    <t>Courier charges - HDFC Chennai</t>
  </si>
  <si>
    <t>PC/17-18/1026</t>
  </si>
  <si>
    <t>Office stationery</t>
  </si>
  <si>
    <t>PC/17-18/1027</t>
  </si>
  <si>
    <t>Dinner with Binu</t>
  </si>
  <si>
    <t>Mothers Kitchen</t>
  </si>
  <si>
    <t>PC/17-18/1028</t>
  </si>
  <si>
    <t>Coffee &amp; Snacks - Strategy meet with Binu</t>
  </si>
  <si>
    <t>Cherries &amp; Berries</t>
  </si>
  <si>
    <t>PC/17-18/1029</t>
  </si>
  <si>
    <t>Dinner - Mgmt</t>
  </si>
  <si>
    <t>Dominos</t>
  </si>
  <si>
    <t>PC/17-18/1030</t>
  </si>
  <si>
    <t>Food - Kochi FB meeting</t>
  </si>
  <si>
    <t>Rochas Café &amp; Bistro</t>
  </si>
  <si>
    <t>PC/17-18/1031</t>
  </si>
  <si>
    <t>PC/17-18/1032</t>
  </si>
  <si>
    <t>ID card and Lanyard</t>
  </si>
  <si>
    <t>PC/17-18/1033</t>
  </si>
  <si>
    <t>ID Card Holder</t>
  </si>
  <si>
    <t>PC/17-18/1034</t>
  </si>
  <si>
    <t>Toll charges</t>
  </si>
  <si>
    <t>Toll</t>
  </si>
  <si>
    <t>PC/17-18/1035</t>
  </si>
  <si>
    <t>Food - Kochi KSUM meeting</t>
  </si>
  <si>
    <t>Vinoos Park</t>
  </si>
  <si>
    <t>PC/17-18/1036</t>
  </si>
  <si>
    <t>PC/17-18/1037</t>
  </si>
  <si>
    <t>PC/17-18/1038</t>
  </si>
  <si>
    <t>Water bottles for Scoot team visit</t>
  </si>
  <si>
    <t>Mother Mart</t>
  </si>
  <si>
    <t>PC/17-18/1039</t>
  </si>
  <si>
    <t>More</t>
  </si>
  <si>
    <t>PC/17-18/1040</t>
  </si>
  <si>
    <t>Lunch for Scoot team</t>
  </si>
  <si>
    <t>PC/17-18/1041</t>
  </si>
  <si>
    <t>Food - B'fast with Binu &amp; Anand</t>
  </si>
  <si>
    <t>Mothers Veg Plaza</t>
  </si>
  <si>
    <t>PC/17-18/1042</t>
  </si>
  <si>
    <t>Courier to HDFC</t>
  </si>
  <si>
    <t>PC/17-18/1043</t>
  </si>
  <si>
    <t>PC/17-18/1044</t>
  </si>
  <si>
    <t>PC/17-18/1045</t>
  </si>
  <si>
    <t>Food - BluePrism visit</t>
  </si>
  <si>
    <t>PC/17-18/1046</t>
  </si>
  <si>
    <t>PC/17-18/1047</t>
  </si>
  <si>
    <t>PC/17-18/1048</t>
  </si>
  <si>
    <t>Courier to Excelity</t>
  </si>
  <si>
    <t>PC/17-18/1049</t>
  </si>
  <si>
    <t>Courier to Fragomen</t>
  </si>
  <si>
    <t>PC/17-18/1050</t>
  </si>
  <si>
    <t>PC/17-18/1051</t>
  </si>
  <si>
    <t>Food - BG Visit</t>
  </si>
  <si>
    <t>PC/17-18/1052</t>
  </si>
  <si>
    <t>Water can charges - May</t>
  </si>
  <si>
    <t>PC/17-18/1053</t>
  </si>
  <si>
    <t>Water can charges - June</t>
  </si>
  <si>
    <t>PC/17-18/1054</t>
  </si>
  <si>
    <t>Water can charges - July</t>
  </si>
  <si>
    <t>PC/17-18/1055</t>
  </si>
  <si>
    <t>Tips - dinner with BG</t>
  </si>
  <si>
    <t>Leela Kovalam</t>
  </si>
  <si>
    <t>PC/17-18/1056</t>
  </si>
  <si>
    <t>PC/17-18/1057</t>
  </si>
  <si>
    <t>ID card printing for Siju</t>
  </si>
  <si>
    <t>PC/17-18/1058</t>
  </si>
  <si>
    <t>Water can charges - August</t>
  </si>
  <si>
    <t>PC/17-18/1059</t>
  </si>
  <si>
    <t>Business card - Indu</t>
  </si>
  <si>
    <t>Digital House</t>
  </si>
  <si>
    <t>PC/17-18/1060</t>
  </si>
  <si>
    <t>Business card - Siju &amp; Anand</t>
  </si>
  <si>
    <t>PC/17-18/1061</t>
  </si>
  <si>
    <t>PC/17-18/1062</t>
  </si>
  <si>
    <t>Insurance for Manoj</t>
  </si>
  <si>
    <t>TATA AIG</t>
  </si>
  <si>
    <t>PC/17-18/1063</t>
  </si>
  <si>
    <t>PC/17-18/1064</t>
  </si>
  <si>
    <t>Courier to EY - Binu</t>
  </si>
  <si>
    <t>PC/17-18/1065</t>
  </si>
  <si>
    <t>Leadership dinner at TVM</t>
  </si>
  <si>
    <t>Aramana</t>
  </si>
  <si>
    <t>PC/17-18/1066</t>
  </si>
  <si>
    <t>Water can charges - September</t>
  </si>
  <si>
    <t>PC/17-18/1067</t>
  </si>
  <si>
    <t>PC/17-18/1068</t>
  </si>
  <si>
    <t>PC/17-18/1069</t>
  </si>
  <si>
    <t>Reliance Jio connection</t>
  </si>
  <si>
    <t>Reliance Digital</t>
  </si>
  <si>
    <t>PC/17-18/1070</t>
  </si>
  <si>
    <t>Birthday Cake @ Alephix</t>
  </si>
  <si>
    <t>Anns Bakery</t>
  </si>
  <si>
    <t>PC/17-18/1071</t>
  </si>
  <si>
    <t>PC/17-18/1072</t>
  </si>
  <si>
    <t>PC/17-18/1073</t>
  </si>
  <si>
    <t>Courier to Hermes for Saudi visa</t>
  </si>
  <si>
    <t>Bluedart</t>
  </si>
  <si>
    <t>PC/17-18/1074</t>
  </si>
  <si>
    <t>Anniversary lunch with team</t>
  </si>
  <si>
    <t>Food court-T'wini</t>
  </si>
  <si>
    <t>PC/17-18/1075</t>
  </si>
  <si>
    <t>Business card printing-NER,SAS,AB,DMD,RK</t>
  </si>
  <si>
    <t>PC/17-18/1076</t>
  </si>
  <si>
    <t>PC/17-18/1077</t>
  </si>
  <si>
    <t>Water can charges - October</t>
  </si>
  <si>
    <t>PC/17-18/1078</t>
  </si>
  <si>
    <t>Courier to Gem George</t>
  </si>
  <si>
    <t>PC/17-18/1079</t>
  </si>
  <si>
    <t>Business card printing-Adharsh</t>
  </si>
  <si>
    <t>PC/17-18/1080</t>
  </si>
  <si>
    <t>PC/17-18/1081</t>
  </si>
  <si>
    <t>ID card printing for Tossen</t>
  </si>
  <si>
    <t>PC/17-18/1082</t>
  </si>
  <si>
    <t>Dollar store</t>
  </si>
  <si>
    <t>PC/17-18/1083</t>
  </si>
  <si>
    <t>Pothys</t>
  </si>
  <si>
    <t>PC/17-18/1084</t>
  </si>
  <si>
    <t>PC/17-18/1085</t>
  </si>
  <si>
    <t>Water can charges - November</t>
  </si>
  <si>
    <t>PC/17-18/1086</t>
  </si>
  <si>
    <t>Courier to Federal bank</t>
  </si>
  <si>
    <t>PC/17-18/1087</t>
  </si>
  <si>
    <t>ID Card printing - Saira</t>
  </si>
  <si>
    <t>PC/17-18/1088</t>
  </si>
  <si>
    <t>X'mas celebration</t>
  </si>
  <si>
    <t>Misc</t>
  </si>
  <si>
    <t>PC/17-18/1089</t>
  </si>
  <si>
    <t>Inkpot</t>
  </si>
  <si>
    <t>PC/17-18/1090</t>
  </si>
  <si>
    <t>Water can charges - December</t>
  </si>
  <si>
    <t>PC/17-18/1091</t>
  </si>
  <si>
    <t>Courier charges - Dubai</t>
  </si>
  <si>
    <t>PC/17-18/1092</t>
  </si>
  <si>
    <t>PC/17-18/1093</t>
  </si>
  <si>
    <t>ID Card printing_New joinees_Samil &amp; Co</t>
  </si>
  <si>
    <t>PC/17-18/1094</t>
  </si>
  <si>
    <t>Water bottle for guests</t>
  </si>
  <si>
    <t>PC/17-18/1095</t>
  </si>
  <si>
    <t>Reliance Jio - device &amp; recharge</t>
  </si>
  <si>
    <t>PC/17-18/1096</t>
  </si>
  <si>
    <t>Lunch with guests - VO</t>
  </si>
  <si>
    <t>Marketing</t>
  </si>
  <si>
    <t>The Dhaba Project</t>
  </si>
  <si>
    <t>PC/17-18/1097</t>
  </si>
  <si>
    <t>Reliance Jio - Nithya - Recharge</t>
  </si>
  <si>
    <t>PC/17-18/1098</t>
  </si>
  <si>
    <t>Lunch with guests - VO on day 1</t>
  </si>
  <si>
    <t>Bawarchi</t>
  </si>
  <si>
    <t>PC/17-18/1099</t>
  </si>
  <si>
    <t>Flowe bouquet for Abhi - Farewell</t>
  </si>
  <si>
    <t>Soonam Florists</t>
  </si>
  <si>
    <t>PC/17-18/1100</t>
  </si>
  <si>
    <t>Water can charges - Jan'18</t>
  </si>
  <si>
    <t>PC/17-18/1101</t>
  </si>
  <si>
    <t>Courier charges - Bangalore - Accredit Screening</t>
  </si>
  <si>
    <t>PC/17-18/1102</t>
  </si>
  <si>
    <t>ID Card printing</t>
  </si>
  <si>
    <t>PC/17-18/1103</t>
  </si>
  <si>
    <t>PC/17-18/1104</t>
  </si>
  <si>
    <t>PC/17-18/1105</t>
  </si>
  <si>
    <t>Shop &amp; Establishment amendment fee</t>
  </si>
  <si>
    <t>Labour Office</t>
  </si>
  <si>
    <t>PC/17-18/1106</t>
  </si>
  <si>
    <t>Shop &amp; Establishment renewal fee</t>
  </si>
  <si>
    <t>PC/17-18/1107</t>
  </si>
  <si>
    <t>Golden Books</t>
  </si>
  <si>
    <t>PC/17-18/1108</t>
  </si>
  <si>
    <t>PC/17-18/1109</t>
  </si>
  <si>
    <t>ID Card printing &amp; tissue papers</t>
  </si>
  <si>
    <t>Aswathy Studio &amp; Kunni Hypermarket</t>
  </si>
  <si>
    <t>PC/17-18/1110</t>
  </si>
  <si>
    <t>Taxi charges - Indu airport pick up</t>
  </si>
  <si>
    <t>Mango cabs</t>
  </si>
  <si>
    <t>PC/17-18/1111</t>
  </si>
  <si>
    <t>Expenses incurred at Cherthala - L'ship meeting</t>
  </si>
  <si>
    <t>Aryaas &amp; Canteen</t>
  </si>
  <si>
    <t>PC/17-18/1112</t>
  </si>
  <si>
    <t>Tag printing - advance paid</t>
  </si>
  <si>
    <t>PC/17-18/1113</t>
  </si>
  <si>
    <t>Water can charges - Feb'18</t>
  </si>
  <si>
    <t>PC/17-18/1114</t>
  </si>
  <si>
    <t>Lunch expenses @ Kochi</t>
  </si>
  <si>
    <t>Carnival foodcourt</t>
  </si>
  <si>
    <t>PC/17-18/1115</t>
  </si>
  <si>
    <t>Uber charges - TP to PF to TP</t>
  </si>
  <si>
    <t>Travel &amp; Logistics</t>
  </si>
  <si>
    <t>Uber</t>
  </si>
  <si>
    <t>PC/17-18/1116</t>
  </si>
  <si>
    <t>PC/17-18/1117</t>
  </si>
  <si>
    <t>PC/17-18/1118</t>
  </si>
  <si>
    <t>Form 3 charges paid to Technopark</t>
  </si>
  <si>
    <t>Technopark</t>
  </si>
  <si>
    <t>PC/17-18/1119</t>
  </si>
  <si>
    <t>Stamp paper for TechnoPark &amp; EB - (100X4)+(100X2)</t>
  </si>
  <si>
    <t>PC/17-18/1120</t>
  </si>
  <si>
    <t>ID Card holder</t>
  </si>
  <si>
    <t>PC/17-18/1121</t>
  </si>
  <si>
    <t>Tag printing - balance payment</t>
  </si>
  <si>
    <t>PC/17-18/1122</t>
  </si>
  <si>
    <t>Food expenses @ Chillax, Kochi</t>
  </si>
  <si>
    <t>Chillax</t>
  </si>
  <si>
    <t>PC/17-18/1123</t>
  </si>
  <si>
    <t>Professional tax - institution charges</t>
  </si>
  <si>
    <t>Corporation</t>
  </si>
  <si>
    <t>PC/17-18/1124</t>
  </si>
  <si>
    <t>PC/17-18/1125</t>
  </si>
  <si>
    <t>Airtel Hotspot</t>
  </si>
  <si>
    <t>G K Solutions</t>
  </si>
  <si>
    <t>Total</t>
  </si>
  <si>
    <t>2018-19</t>
  </si>
  <si>
    <t>PC/18-19/1000</t>
  </si>
  <si>
    <t>PC/18-19/1001</t>
  </si>
  <si>
    <t>ID card printing</t>
  </si>
  <si>
    <t>PC/18-19/1002</t>
  </si>
  <si>
    <t>PC/18-19/1003</t>
  </si>
  <si>
    <t>Stationery &amp; office materials - Park Center</t>
  </si>
  <si>
    <t>Style Plus</t>
  </si>
  <si>
    <t>PC/18-19/1004</t>
  </si>
  <si>
    <t>Office inaugration materials</t>
  </si>
  <si>
    <t>Miscallaneous</t>
  </si>
  <si>
    <t>PC/18-19/1005</t>
  </si>
  <si>
    <t>LAN card for computer</t>
  </si>
  <si>
    <t>Mystic Corporation</t>
  </si>
  <si>
    <t>PC/18-19/1006</t>
  </si>
  <si>
    <t>Key chains for office drawers</t>
  </si>
  <si>
    <t>PC/18-19/1007</t>
  </si>
  <si>
    <t>Courier to Bangalore - Ram; for BK's business card</t>
  </si>
  <si>
    <t>First flight</t>
  </si>
  <si>
    <t>PC/18-19/1008</t>
  </si>
  <si>
    <t>Courier to DXB &amp; Bangalore - DIC &amp; Quess</t>
  </si>
  <si>
    <t>Professional Couriers</t>
  </si>
  <si>
    <t>PC/18-19/1009</t>
  </si>
  <si>
    <t xml:space="preserve">Stationery &amp; office materials </t>
  </si>
  <si>
    <t>PC/18-19/1010</t>
  </si>
  <si>
    <t>Printing &amp; binding of SEZ docs</t>
  </si>
  <si>
    <t>Twinkle</t>
  </si>
  <si>
    <t>PC/18-19/1011</t>
  </si>
  <si>
    <t>PC/18-19/1012</t>
  </si>
  <si>
    <t>PC/18-19/1013</t>
  </si>
  <si>
    <t>Office cleaning services</t>
  </si>
  <si>
    <t>South Star</t>
  </si>
  <si>
    <t>PC/18-19/1014</t>
  </si>
  <si>
    <t>Airtel 4G dongle charges</t>
  </si>
  <si>
    <t>Airtel</t>
  </si>
  <si>
    <t>PC/18-19/1015</t>
  </si>
  <si>
    <t>Uber charges - Office-Sridhar&amp;Co-Office</t>
  </si>
  <si>
    <t>PC/18-19/1016</t>
  </si>
  <si>
    <t>ID Card &amp; Stationery</t>
  </si>
  <si>
    <t>Aswathy Studio &amp; Premier</t>
  </si>
  <si>
    <t>PC/18-19/1017</t>
  </si>
  <si>
    <t>Stamp paper - For SEZ &amp; KSUM</t>
  </si>
  <si>
    <t>Kazhakuttam Vendor</t>
  </si>
  <si>
    <t>PC/18-19/1018</t>
  </si>
  <si>
    <t>Notarization of SEZ docs</t>
  </si>
  <si>
    <t>George Philip - Advocate</t>
  </si>
  <si>
    <t>PC/18-19/1019</t>
  </si>
  <si>
    <t>Courier to HDFC and Manoj</t>
  </si>
  <si>
    <t>PC/18-19/1020</t>
  </si>
  <si>
    <t>Office stationery - Tissue</t>
  </si>
  <si>
    <t xml:space="preserve">Spencers </t>
  </si>
  <si>
    <t>PC/18-19/1021</t>
  </si>
  <si>
    <t>Notarization of DXB docs on 9 April 2018</t>
  </si>
  <si>
    <t>PC/18-19/1022</t>
  </si>
  <si>
    <t>Uber charges for travel to Advocate</t>
  </si>
  <si>
    <t>PC/18-19/1023</t>
  </si>
  <si>
    <t>Business card printing_Prince&amp;Manoj Kumar</t>
  </si>
  <si>
    <t>PC/18-19/1024</t>
  </si>
  <si>
    <t>ID card printing - Rakkab</t>
  </si>
  <si>
    <t>PC/18-19/1025</t>
  </si>
  <si>
    <t>DXB Board resolution related exp - Notorization &amp; Chamber attestation</t>
  </si>
  <si>
    <t>George Philip - Advocate &amp; TCC</t>
  </si>
  <si>
    <t>PC/18-19/1026</t>
  </si>
  <si>
    <t>Expenses incurred at Kochi</t>
  </si>
  <si>
    <t>PC/18-19/1027</t>
  </si>
  <si>
    <t>Courier to DXB - DIC</t>
  </si>
  <si>
    <t>PC/18-19/1028</t>
  </si>
  <si>
    <t>Accomodation for Divya@ Salaams Kailas</t>
  </si>
  <si>
    <t>Salaams Kailas</t>
  </si>
  <si>
    <t>PC/18-19/1029</t>
  </si>
  <si>
    <t>Water can charges @ Park Center</t>
  </si>
  <si>
    <t>Vilayil Agency</t>
  </si>
  <si>
    <t>PC/18-19/1030</t>
  </si>
  <si>
    <t>Courier charges to Bangalore</t>
  </si>
  <si>
    <t>PC/18-19/1031</t>
  </si>
  <si>
    <t>Stamp paper - For Infopark Power 100X2</t>
  </si>
  <si>
    <t>PC/18-19/1032</t>
  </si>
  <si>
    <t>Expenses incurred at Kochi - SEZ DDC meeting</t>
  </si>
  <si>
    <t>Food &amp; Refreshment</t>
  </si>
  <si>
    <t>Tonico&amp;Chillax</t>
  </si>
  <si>
    <t>PC/18-19/1033</t>
  </si>
  <si>
    <t>Birthday Cake for May b'days</t>
  </si>
  <si>
    <t>Supreme</t>
  </si>
  <si>
    <t>PC/18-19/1034</t>
  </si>
  <si>
    <t>PC/18-19/1035</t>
  </si>
  <si>
    <t>PC/18-19/1036</t>
  </si>
  <si>
    <t>Stamp paper - Enet Alephix</t>
  </si>
  <si>
    <t>PC/18-19/1037</t>
  </si>
  <si>
    <t>Kochi office set up exp</t>
  </si>
  <si>
    <t>@Kochi</t>
  </si>
  <si>
    <t>PC/18-19/1038</t>
  </si>
  <si>
    <t>Food expenses for team - travel to Kochi</t>
  </si>
  <si>
    <t>PC/18-19/1039</t>
  </si>
  <si>
    <t>Food expenses @ Kochi - office set up</t>
  </si>
  <si>
    <t>Swiggy</t>
  </si>
  <si>
    <t>PC/18-19/1040</t>
  </si>
  <si>
    <t>Uber charges for travel to PF office</t>
  </si>
  <si>
    <t>PC/18-19/1041</t>
  </si>
  <si>
    <t>Train ticket booked for Raju - Fragomen meeting</t>
  </si>
  <si>
    <t>IRCTC</t>
  </si>
  <si>
    <t>PC/18-19/1042</t>
  </si>
  <si>
    <t>Food expenses - Kochi travel</t>
  </si>
  <si>
    <t>Aryaas &amp; Arcadia</t>
  </si>
  <si>
    <t>PC/18-19/1043</t>
  </si>
  <si>
    <t>Water can cover</t>
  </si>
  <si>
    <t>Amazon</t>
  </si>
  <si>
    <t>PC/18-19/1044</t>
  </si>
  <si>
    <t>Office refreshments &amp; stationery</t>
  </si>
  <si>
    <t>Pothys &amp; More</t>
  </si>
  <si>
    <t>PC/18-19/1045</t>
  </si>
  <si>
    <t>Courier to quess</t>
  </si>
  <si>
    <t>PC/18-19/1046</t>
  </si>
  <si>
    <t>Dongle charges - April to June'18</t>
  </si>
  <si>
    <t>Reliance jio &amp; Airtel</t>
  </si>
  <si>
    <t>PC/18-19/1047</t>
  </si>
  <si>
    <t>Snacks for VO team</t>
  </si>
  <si>
    <t>Swadeshi</t>
  </si>
  <si>
    <t>PC/18-19/1048</t>
  </si>
  <si>
    <t>PC/18-19/1049</t>
  </si>
  <si>
    <t>HR-mobile recharge</t>
  </si>
  <si>
    <t>Idea</t>
  </si>
  <si>
    <t>PC/18-19/1050</t>
  </si>
  <si>
    <t>Miscallaneous purchases for office</t>
  </si>
  <si>
    <t>PC/18-19/1051</t>
  </si>
  <si>
    <t>Dongle charges - July'18</t>
  </si>
  <si>
    <t>PC/18-19/1052</t>
  </si>
  <si>
    <t>PC/18-19/1053</t>
  </si>
  <si>
    <t>Stamp paper for SIB NDA</t>
  </si>
  <si>
    <t>PC/18-19/1054</t>
  </si>
  <si>
    <t>House Keeping  charges - Aug'18</t>
  </si>
  <si>
    <t>PC/18-19/1055</t>
  </si>
  <si>
    <t>More supermarket</t>
  </si>
  <si>
    <t>PC/18-19/1056</t>
  </si>
  <si>
    <t>PC/18-19/1057</t>
  </si>
  <si>
    <t>ID Card printing for Interns</t>
  </si>
  <si>
    <t>PC/18-19/1058</t>
  </si>
  <si>
    <t>Office materials</t>
  </si>
  <si>
    <t>Pothys &amp; Dhanya</t>
  </si>
  <si>
    <t>PC/18-19/1059</t>
  </si>
  <si>
    <t>PC/18-19/1060</t>
  </si>
  <si>
    <t>ID Card printing &amp; DXB docs attestation</t>
  </si>
  <si>
    <t>Aswathy &amp; Misc</t>
  </si>
  <si>
    <t>PC/18-19/1061</t>
  </si>
  <si>
    <t>Courier to FBL</t>
  </si>
  <si>
    <t>PC/18-19/1062</t>
  </si>
  <si>
    <t>Airtel 4G dongle charges - Oct'18</t>
  </si>
  <si>
    <t>PC/18-19/1063</t>
  </si>
  <si>
    <t>Water can charges @ T'wini: Apr-Sep'18</t>
  </si>
  <si>
    <t>PC/18-19/1064</t>
  </si>
  <si>
    <t>PC/18-19/1065</t>
  </si>
  <si>
    <t>PC/18-19/1066</t>
  </si>
  <si>
    <t>PC/18-19/1067</t>
  </si>
  <si>
    <t>South star - park center clearning charges</t>
  </si>
  <si>
    <t>PC/18-19/1068</t>
  </si>
  <si>
    <t>PC/18-19/1069</t>
  </si>
  <si>
    <t>Office refreshments</t>
  </si>
  <si>
    <t>PC/18-19/1070</t>
  </si>
  <si>
    <t>PC/18-19/1071</t>
  </si>
  <si>
    <t>Uber charges to PF office</t>
  </si>
  <si>
    <t>PC/18-19/1072</t>
  </si>
  <si>
    <t>Bouquet &amp; water can charges</t>
  </si>
  <si>
    <t>Krishna Group &amp; Sonam</t>
  </si>
  <si>
    <t>PC/18-19/1073</t>
  </si>
  <si>
    <t>Business card printing_Aneesh</t>
  </si>
  <si>
    <t>PC/18-19/1074</t>
  </si>
  <si>
    <t>Sweets for Anniversary</t>
  </si>
  <si>
    <t>Bikash Babu</t>
  </si>
  <si>
    <t>PC/18-19/1075</t>
  </si>
  <si>
    <t>PC/18-19/1076</t>
  </si>
  <si>
    <t>PC/18-19/1077</t>
  </si>
  <si>
    <t>Dongle charges</t>
  </si>
  <si>
    <t>Airtel &amp; Reliance</t>
  </si>
  <si>
    <t>PC/18-19/1078</t>
  </si>
  <si>
    <t>PC/18-19/1079</t>
  </si>
  <si>
    <t>Office snacks</t>
  </si>
  <si>
    <t>PC/18-19/1080</t>
  </si>
  <si>
    <t>ID card &amp; vehicle pass</t>
  </si>
  <si>
    <t>Aswathy &amp; Technopark</t>
  </si>
  <si>
    <t>PC/18-19/1081</t>
  </si>
  <si>
    <t>Uber charges to Sridhar &amp; Co.</t>
  </si>
  <si>
    <t>PC/18-19/1082</t>
  </si>
  <si>
    <t>Courier &amp; office materials</t>
  </si>
  <si>
    <t>PC/18-19/1083</t>
  </si>
  <si>
    <t>Fun activities @ TVM office</t>
  </si>
  <si>
    <t>Cake world &amp; RMC</t>
  </si>
  <si>
    <t>PC/18-19/1084</t>
  </si>
  <si>
    <t>PC/18-19/1085</t>
  </si>
  <si>
    <t>PC/18-19/1086</t>
  </si>
  <si>
    <t>Office snacks &amp; Stationery</t>
  </si>
  <si>
    <t>Supermarket</t>
  </si>
  <si>
    <t>PC/18-19/1087</t>
  </si>
  <si>
    <t>PC/18-19/1088</t>
  </si>
  <si>
    <t>PC/18-19/1089</t>
  </si>
  <si>
    <t>Lunch at COK - leadership meeting - 27 &amp; 28</t>
  </si>
  <si>
    <t>Uber Eats &amp; Dominos</t>
  </si>
  <si>
    <t>PC/18-19/1090</t>
  </si>
  <si>
    <t>Water can &amp; ID card printing</t>
  </si>
  <si>
    <t>Awathy &amp; Krishna Group</t>
  </si>
  <si>
    <t>PC/18-19/1091</t>
  </si>
  <si>
    <t>PC/18-19/1092</t>
  </si>
  <si>
    <t>Water can charges - park center</t>
  </si>
  <si>
    <t>PC/18-19/1093</t>
  </si>
  <si>
    <t>Raju - gift for Xmas</t>
  </si>
  <si>
    <t>Ferns and Petals</t>
  </si>
  <si>
    <t>PC/18-19/1094</t>
  </si>
  <si>
    <t>PC/18-19/1095</t>
  </si>
  <si>
    <t>Xmas celebrations @ TVM</t>
  </si>
  <si>
    <t>Multiple</t>
  </si>
  <si>
    <t>PC/18-19/1096</t>
  </si>
  <si>
    <t>Airtel 4G dongle charges - Jan'19</t>
  </si>
  <si>
    <t>PC/18-19/1097</t>
  </si>
  <si>
    <t>PC/18-19/1098</t>
  </si>
  <si>
    <t>First aid kit</t>
  </si>
  <si>
    <t>JB Pharmacy</t>
  </si>
  <si>
    <t>PC/18-19/1099</t>
  </si>
  <si>
    <t>IT accessories</t>
  </si>
  <si>
    <t>MK &amp; Bhadra</t>
  </si>
  <si>
    <t>PC/18-19/1100</t>
  </si>
  <si>
    <t>Annual outing purchases</t>
  </si>
  <si>
    <t>Digital House &amp; Chakra</t>
  </si>
  <si>
    <t>PC/18-19/1101</t>
  </si>
  <si>
    <t>BG visit - elephant purchase</t>
  </si>
  <si>
    <t>Marketing Exp</t>
  </si>
  <si>
    <t>PC/18-19/1102</t>
  </si>
  <si>
    <t>Petrol reimb - Vishal</t>
  </si>
  <si>
    <t>Vishal</t>
  </si>
  <si>
    <t>PC/18-19/1103</t>
  </si>
  <si>
    <t>Coffee powder - Office</t>
  </si>
  <si>
    <t>PC/18-19/1104</t>
  </si>
  <si>
    <t>BG visit - Wemart purchases</t>
  </si>
  <si>
    <t>Wemart</t>
  </si>
  <si>
    <t>PC/18-19/1105</t>
  </si>
  <si>
    <t>BG visit - More</t>
  </si>
  <si>
    <t>PC/18-19/1106</t>
  </si>
  <si>
    <t>BG visit - RMC Multishopppe</t>
  </si>
  <si>
    <t>RMC Multishoppee</t>
  </si>
  <si>
    <t>PC/18-19/1107</t>
  </si>
  <si>
    <t>Team outing - Cake &amp; water</t>
  </si>
  <si>
    <t>Talent</t>
  </si>
  <si>
    <t>Cutiepie &amp; UDS</t>
  </si>
  <si>
    <t>PC/18-19/1108</t>
  </si>
  <si>
    <t>Team outing - Certificate printing</t>
  </si>
  <si>
    <t>PC/18-19/1109</t>
  </si>
  <si>
    <t>Stamp Paper vendor</t>
  </si>
  <si>
    <t>PC/18-19/1110</t>
  </si>
  <si>
    <t>LAN cable for addln space</t>
  </si>
  <si>
    <t>Dnet Software</t>
  </si>
  <si>
    <t>PC/18-19/1111</t>
  </si>
  <si>
    <t>PC/18-19/1112</t>
  </si>
  <si>
    <t>Water can charges - T'wini - Jan'19</t>
  </si>
  <si>
    <t>PC/18-19/1113</t>
  </si>
  <si>
    <t>Park center addn office key duplication</t>
  </si>
  <si>
    <t>Vendor</t>
  </si>
  <si>
    <t>PC/18-19/1114</t>
  </si>
  <si>
    <t>Food &amp; refreshment - Office &amp; ICFOSS guest</t>
  </si>
  <si>
    <t>PC/18-19/1115</t>
  </si>
  <si>
    <t>Stationery &amp; Refreshments</t>
  </si>
  <si>
    <t>PC/18-19/1116</t>
  </si>
  <si>
    <t>Petrol&amp; ID Card</t>
  </si>
  <si>
    <t>Petrol &amp; Aswathy</t>
  </si>
  <si>
    <t>PC/18-19/1117</t>
  </si>
  <si>
    <t>Annual outing driver bata</t>
  </si>
  <si>
    <t>Sweety Travels</t>
  </si>
  <si>
    <t>PC/18-19/1118</t>
  </si>
  <si>
    <t>BG Visit - Gift bag</t>
  </si>
  <si>
    <t>Archies</t>
  </si>
  <si>
    <t>PC/18-19/1119</t>
  </si>
  <si>
    <t>Airtel 4G dongle charges - Feb'19</t>
  </si>
  <si>
    <t>PC/18-19/1120</t>
  </si>
  <si>
    <t>Monthly team bonding - TVM - Feb'19</t>
  </si>
  <si>
    <t>PC/18-19/1121</t>
  </si>
  <si>
    <t>Aswathy - ID card printing</t>
  </si>
  <si>
    <t>PC/18-19/1122</t>
  </si>
  <si>
    <t>PC/18-19/1123</t>
  </si>
  <si>
    <t>Water can charges - Park Center -Feb'19</t>
  </si>
  <si>
    <t>PC/18-19/1124</t>
  </si>
  <si>
    <t>PC/18-19/1125</t>
  </si>
  <si>
    <t>PC/18-19/1126</t>
  </si>
  <si>
    <t>Reg office board printing</t>
  </si>
  <si>
    <t>Haritham Digital</t>
  </si>
  <si>
    <t>PC/18-19/1127</t>
  </si>
  <si>
    <t>Womens day &amp; VO snacks</t>
  </si>
  <si>
    <t>PC/18-19/1128</t>
  </si>
  <si>
    <t>Seals for office</t>
  </si>
  <si>
    <t>Instant Stamp</t>
  </si>
  <si>
    <t>PC/18-19/1129</t>
  </si>
  <si>
    <t>Courier to Ingram</t>
  </si>
  <si>
    <t>DTDC</t>
  </si>
  <si>
    <t>PC/18-19/1130</t>
  </si>
  <si>
    <t>Stamp paper for KSUM</t>
  </si>
  <si>
    <t>PC/18-19/1131</t>
  </si>
  <si>
    <t>Water can charges - Thejaswini - Feb'19</t>
  </si>
  <si>
    <t>PC/18-19/1132</t>
  </si>
  <si>
    <t>PC/18-19/1133</t>
  </si>
  <si>
    <t>Flower bouquet for Anand</t>
  </si>
  <si>
    <t>PC/18-19/1134</t>
  </si>
  <si>
    <t>Fun Friday - games stationery - 290319</t>
  </si>
  <si>
    <t>PC/18-19/1135</t>
  </si>
  <si>
    <t>Kettle for Park center office</t>
  </si>
  <si>
    <t>PC/18-19/1136</t>
  </si>
  <si>
    <t>Airtel 4G dongle charges - Mar'19</t>
  </si>
  <si>
    <t>PC/18-19/1137</t>
  </si>
  <si>
    <t>Snacks and refreshments</t>
  </si>
  <si>
    <t>PC/18-19/1138</t>
  </si>
  <si>
    <t>2019-20</t>
  </si>
  <si>
    <t>PC/19-20/1001</t>
  </si>
  <si>
    <t>Water can - Park Center - Mar'19</t>
  </si>
  <si>
    <t>PC/19-20/1002</t>
  </si>
  <si>
    <t>HR mobile phone recharge</t>
  </si>
  <si>
    <t xml:space="preserve">Idea </t>
  </si>
  <si>
    <t>PC/19-20/1003</t>
  </si>
  <si>
    <t>PC/19-20/1004</t>
  </si>
  <si>
    <t>Laptop service</t>
  </si>
  <si>
    <t>MK Solutions</t>
  </si>
  <si>
    <t>PC/19-20/1005</t>
  </si>
  <si>
    <t>Speedpost</t>
  </si>
  <si>
    <t>PC/19-20/1006</t>
  </si>
  <si>
    <t>Office consumables</t>
  </si>
  <si>
    <t>PC/19-20/1007</t>
  </si>
  <si>
    <t>Water can - Thejaswini - Mar'19</t>
  </si>
  <si>
    <t>PC/19-20/1008</t>
  </si>
  <si>
    <t>Petrol charges - ECB submission - Vishal</t>
  </si>
  <si>
    <t>Vishal Easwar</t>
  </si>
  <si>
    <t>PC/19-20/1009</t>
  </si>
  <si>
    <t>Business card printing</t>
  </si>
  <si>
    <t>PC/19-20/1010</t>
  </si>
  <si>
    <t>Jio - data booster for Unimoni team</t>
  </si>
  <si>
    <t>Reliance Jio</t>
  </si>
  <si>
    <t>PC/19-20/1011</t>
  </si>
  <si>
    <t>PC/19-20/1012</t>
  </si>
  <si>
    <t>Petrol charges - Nina laptop repair - Vishal</t>
  </si>
  <si>
    <t>PC/19-20/1013</t>
  </si>
  <si>
    <t>Aswathy Studio ID Card</t>
  </si>
  <si>
    <t>PC/19-20/1014</t>
  </si>
  <si>
    <t>Reliance Jio dongle charges - 3#</t>
  </si>
  <si>
    <t>PC/19-20/1015</t>
  </si>
  <si>
    <t>Airtel dongle charges - Apr 19</t>
  </si>
  <si>
    <t>PC/19-20/1016</t>
  </si>
  <si>
    <t>PC/19-20/1017</t>
  </si>
  <si>
    <t>Brouchure printing (Schnider event)</t>
  </si>
  <si>
    <t>PC/19-20/1018</t>
  </si>
  <si>
    <t>Water can - Thejaswini - Apr'19</t>
  </si>
  <si>
    <t>PC/19-20/1019</t>
  </si>
  <si>
    <t>PC/19-20/1020</t>
  </si>
  <si>
    <t>Water can - Park Center - Apr'19</t>
  </si>
  <si>
    <t>PC/19-20/1021</t>
  </si>
  <si>
    <t>Cleaning charges @ Park Center - Apr'19</t>
  </si>
  <si>
    <t>PC/19-20/1022</t>
  </si>
  <si>
    <t>Ink pot</t>
  </si>
  <si>
    <t>PC/19-20/1023</t>
  </si>
  <si>
    <t>PC/19-20/1024</t>
  </si>
  <si>
    <t>LAN cables (Firewall installation)</t>
  </si>
  <si>
    <t>Dnet Soft</t>
  </si>
  <si>
    <t>PC/19-20/1025</t>
  </si>
  <si>
    <t>Surge protector (Firewall installation)</t>
  </si>
  <si>
    <t>PC/19-20/1026</t>
  </si>
  <si>
    <t>Petrol charges for purchases - Firewall rel</t>
  </si>
  <si>
    <t>PC/19-20/1027</t>
  </si>
  <si>
    <t>Fun day expenses - food &amp; refreshments</t>
  </si>
  <si>
    <t>PC/19-20/1028</t>
  </si>
  <si>
    <t>First Aid Kit - Thejaswini</t>
  </si>
  <si>
    <t>PC/19-20/1029</t>
  </si>
  <si>
    <t>Courier to Hermes</t>
  </si>
  <si>
    <t>PC/19-20/1030</t>
  </si>
  <si>
    <t>Water can - Thejaswini - May'19</t>
  </si>
  <si>
    <t>PC/19-20/1031</t>
  </si>
  <si>
    <t>Cleaning charges @ Park Center - May'19</t>
  </si>
  <si>
    <t>PC/19-20/1032</t>
  </si>
  <si>
    <t>PC/19-20/1033</t>
  </si>
  <si>
    <t>Water can - Park center - May &amp; June</t>
  </si>
  <si>
    <t>PC/19-20/1034</t>
  </si>
  <si>
    <t>Water can - Thejaswini - June'19</t>
  </si>
  <si>
    <t>PC/19-20/1035</t>
  </si>
  <si>
    <t>Electrical work @ Park center - extra plug</t>
  </si>
  <si>
    <t>CS Engineering</t>
  </si>
  <si>
    <t>PC/19-20/1036</t>
  </si>
  <si>
    <t>PC/19-20/1037</t>
  </si>
  <si>
    <t>Airtel dongle charges - May 19</t>
  </si>
  <si>
    <t>PC/19-20/1038</t>
  </si>
  <si>
    <t>Airtel dongle charges - June19</t>
  </si>
  <si>
    <t>PC/19-20/1039</t>
  </si>
  <si>
    <t>Uber charges - ECB filing -CA &amp; HDFC</t>
  </si>
  <si>
    <t>PC/19-20/1040</t>
  </si>
  <si>
    <t>Cleaning charges @ Park Center - Jun'19</t>
  </si>
  <si>
    <t>PC/19-20/1041</t>
  </si>
  <si>
    <t>Water can charges@ Park Center - Jun'19</t>
  </si>
  <si>
    <t>PC/19-20/1042</t>
  </si>
  <si>
    <t>LAN cables (TBIC)</t>
  </si>
  <si>
    <t>PC/19-20/1043</t>
  </si>
  <si>
    <t>Stationary @ Premier</t>
  </si>
  <si>
    <t>PC/19-20/1044</t>
  </si>
  <si>
    <t>Dinner for team after Cherthala meeting</t>
  </si>
  <si>
    <t>Aravind M B</t>
  </si>
  <si>
    <t>PC/19-20/1045</t>
  </si>
  <si>
    <t>Breakfast for team enroute to Cherthala meeting</t>
  </si>
  <si>
    <t>PC/19-20/1046</t>
  </si>
  <si>
    <t>Driver bata - Cherthala cab</t>
  </si>
  <si>
    <t>PC/19-20/1047</t>
  </si>
  <si>
    <t>Office consumables @ COK</t>
  </si>
  <si>
    <t>WeMart</t>
  </si>
  <si>
    <t>PC/19-20/1048</t>
  </si>
  <si>
    <t>Lunch @ Cherthala</t>
  </si>
  <si>
    <t xml:space="preserve">Sun Snacks </t>
  </si>
  <si>
    <t>PC_19-20_1049</t>
  </si>
  <si>
    <t>itrades retail</t>
  </si>
  <si>
    <t>PC_19-20_1050</t>
  </si>
  <si>
    <t>Printing for proposal submission</t>
  </si>
  <si>
    <t>Jayaraj</t>
  </si>
  <si>
    <t>PC_19-20_1051</t>
  </si>
  <si>
    <t>QRS</t>
  </si>
  <si>
    <t>PC_19-20_1052</t>
  </si>
  <si>
    <t>Airtel dongle charges - July19</t>
  </si>
  <si>
    <t>PC_19-20_1053</t>
  </si>
  <si>
    <t>PC_19-20_1054</t>
  </si>
  <si>
    <t>PC_19-20_1055</t>
  </si>
  <si>
    <t>Certificate printing</t>
  </si>
  <si>
    <t>PC_19-20_1056</t>
  </si>
  <si>
    <t>Cleaning charges @ Park Center - July'19</t>
  </si>
  <si>
    <t>PC_19-20_1057</t>
  </si>
  <si>
    <t>Indipendance day celebration purchases</t>
  </si>
  <si>
    <t>PC_19-20_1058</t>
  </si>
  <si>
    <t>Water can - Thejaswini - July'19</t>
  </si>
  <si>
    <t>PC_19-20_1059</t>
  </si>
  <si>
    <t>Airtel dongle charges - Aug19</t>
  </si>
  <si>
    <t>PC_19-20_1060</t>
  </si>
  <si>
    <t>Water can charges - Jul, Aug, Sep'19</t>
  </si>
  <si>
    <t>PC_19-20_1061</t>
  </si>
  <si>
    <t>Onam celebration expenses</t>
  </si>
  <si>
    <t>PC_19-20_1062</t>
  </si>
  <si>
    <t>Business card printing - Joy John</t>
  </si>
  <si>
    <t>PC_19-20_1063</t>
  </si>
  <si>
    <t>Cleaning charges @ Park Center - Aug'19</t>
  </si>
  <si>
    <t>PC_19-20_1064</t>
  </si>
  <si>
    <t>Bouquet for James</t>
  </si>
  <si>
    <t>FnP</t>
  </si>
  <si>
    <t>PC_19-20_1065</t>
  </si>
  <si>
    <t>Business card printing - Manoj T</t>
  </si>
  <si>
    <t>PC_19-20_1066</t>
  </si>
  <si>
    <t>Bus ticket for Sreyas</t>
  </si>
  <si>
    <t>Makemytrip</t>
  </si>
  <si>
    <t>PC_19-20_1067</t>
  </si>
  <si>
    <t>ID card printing &amp; bowl purchase</t>
  </si>
  <si>
    <t>PC_19-20_1068</t>
  </si>
  <si>
    <t>POSH Session visiting speaker</t>
  </si>
  <si>
    <t>Thara</t>
  </si>
  <si>
    <t>PC_19-20_1069</t>
  </si>
  <si>
    <t>PC_19-20_1070</t>
  </si>
  <si>
    <t>Airtel dongle charges - Sep19</t>
  </si>
  <si>
    <t>PC_19-20_1071</t>
  </si>
  <si>
    <t>Bouquet for Anjana</t>
  </si>
  <si>
    <t>PC_19-20_1072</t>
  </si>
  <si>
    <t>Cleaning charges @ Park Center - Sep'19</t>
  </si>
  <si>
    <t>PC_19-20_1073</t>
  </si>
  <si>
    <t>Water can - Thejaswini - Aug'19</t>
  </si>
  <si>
    <t>PC_19-20_1074</t>
  </si>
  <si>
    <t>PC_19-20_1075</t>
  </si>
  <si>
    <t>Petrol charges - Ram Dell laptop repair - Vishal</t>
  </si>
  <si>
    <t>PC_19-20_1076</t>
  </si>
  <si>
    <t>PC_19-20_1077</t>
  </si>
  <si>
    <t>Water can charges - Oct '19</t>
  </si>
  <si>
    <t>PC_19-20_1078</t>
  </si>
  <si>
    <t>Business card printing - Sreekanth</t>
  </si>
  <si>
    <t>PC_19-20_1079</t>
  </si>
  <si>
    <t>PC_19-20_1080</t>
  </si>
  <si>
    <t>Anniversary cake</t>
  </si>
  <si>
    <t>Square One</t>
  </si>
  <si>
    <t>PC_19-20_1081</t>
  </si>
  <si>
    <t>Airtel dongle charges - Oct19</t>
  </si>
  <si>
    <t>PC_19-20_1082</t>
  </si>
  <si>
    <t>PC_19-20_1083</t>
  </si>
  <si>
    <t>Cleaning charges @ Park Center - Oct'19</t>
  </si>
  <si>
    <t>PC_19-20_1084</t>
  </si>
  <si>
    <t>Big Bazaar</t>
  </si>
  <si>
    <t>PC_19-20_1085</t>
  </si>
  <si>
    <t>Airtel dongle charges - Nov19</t>
  </si>
  <si>
    <t>PC_19-20_1086</t>
  </si>
  <si>
    <t>Printing - Business card (RK, AL, RV) &amp; Certificates</t>
  </si>
  <si>
    <t>PC_19-20_1087</t>
  </si>
  <si>
    <t>Cleaning charges @ Park Center - Nov'19</t>
  </si>
  <si>
    <t>PC_19-20_1088</t>
  </si>
  <si>
    <t>Courier to AbuDhabi - Renjith certificate</t>
  </si>
  <si>
    <t>DHL</t>
  </si>
  <si>
    <t>PC_19-20_1089</t>
  </si>
  <si>
    <t>Water can - Thejaswini - Sep, Oct, Nov'19</t>
  </si>
  <si>
    <t>PC_19-20_1090</t>
  </si>
  <si>
    <t>Bouquet for Indu</t>
  </si>
  <si>
    <t>PC_19-20_1091</t>
  </si>
  <si>
    <t>Water can - Park - Nov, Dec'19</t>
  </si>
  <si>
    <t>PC_19-20_1092</t>
  </si>
  <si>
    <t>Certificate printing_131219</t>
  </si>
  <si>
    <t>PC_19-20_1093</t>
  </si>
  <si>
    <t>Office consumables_151219</t>
  </si>
  <si>
    <t>PC_19-20_1094</t>
  </si>
  <si>
    <t>Courier to Muscat - Shambhu docs</t>
  </si>
  <si>
    <t>PC_19-20_1095</t>
  </si>
  <si>
    <t>Petrol charges for laptop reparis</t>
  </si>
  <si>
    <t>PC_19-20_1096</t>
  </si>
  <si>
    <t>Laptop hardware case</t>
  </si>
  <si>
    <t>PC_19-20_1097</t>
  </si>
  <si>
    <t>Epson printer maintenance</t>
  </si>
  <si>
    <t>SRA Info Solutions</t>
  </si>
  <si>
    <t>PC_19-20_1098</t>
  </si>
  <si>
    <t>Office consumables_050120</t>
  </si>
  <si>
    <t>PC_19-20_1099</t>
  </si>
  <si>
    <t>PC_19-20_1100</t>
  </si>
  <si>
    <t>Airtel dongle charges - Dec19</t>
  </si>
  <si>
    <t>PC_19-20_1101</t>
  </si>
  <si>
    <t>AAA battery for AC remotes</t>
  </si>
  <si>
    <t>Technopark Shop</t>
  </si>
  <si>
    <t>PC_19-20_1102</t>
  </si>
  <si>
    <t>Cleaning charges @ Park Center - Dec'19</t>
  </si>
  <si>
    <t>PC_19-20_1103</t>
  </si>
  <si>
    <t>ID card printing charges</t>
  </si>
  <si>
    <t>PC_19-20_1104</t>
  </si>
  <si>
    <t>USB</t>
  </si>
  <si>
    <t>PC_19-20_1105</t>
  </si>
  <si>
    <t>Water can - Park - Jan'20</t>
  </si>
  <si>
    <t>PC_19-20_1106</t>
  </si>
  <si>
    <t>Airtel dongle charges - Jan20</t>
  </si>
  <si>
    <t>PC_19-20_1107</t>
  </si>
  <si>
    <t>Cleaning charges @ Park Center - Jan'20</t>
  </si>
  <si>
    <t>PC_19-20_1108</t>
  </si>
  <si>
    <t>Jio dongle recharge - #1</t>
  </si>
  <si>
    <t>PC_19-20_1109</t>
  </si>
  <si>
    <t>Water can - Thejaswini - Dec'19 &amp; Jan'20</t>
  </si>
  <si>
    <t>PC_19-20_1110</t>
  </si>
  <si>
    <t>PC_19-20_1111</t>
  </si>
  <si>
    <t>Office consumables_020320</t>
  </si>
  <si>
    <t>More Supermarket</t>
  </si>
  <si>
    <t>PC_19-20_1112</t>
  </si>
  <si>
    <t>PC_19-20_1113</t>
  </si>
  <si>
    <t>Cleaning charges @ Park Center - Feb'20</t>
  </si>
  <si>
    <t>PC_19-20_1114</t>
  </si>
  <si>
    <t>Office consumables_150320</t>
  </si>
  <si>
    <t>2020-21</t>
  </si>
  <si>
    <t>PC/20-21/1001</t>
  </si>
  <si>
    <t>Stamp paper - 4 no's</t>
  </si>
  <si>
    <t>Stamp paper vendor - Kazhakuttam</t>
  </si>
  <si>
    <t>PC/20-21/1002</t>
  </si>
  <si>
    <t>LWF - Company contribution</t>
  </si>
  <si>
    <t>Proff tax pymt</t>
  </si>
  <si>
    <t>PC/20-21/1003</t>
  </si>
  <si>
    <t>PC/20-21/1004</t>
  </si>
  <si>
    <t>Water can Charges</t>
  </si>
  <si>
    <t>Vilayil Agencies</t>
  </si>
  <si>
    <t>Exponential Digital Solutions W.L.L - Petty Cash Log</t>
  </si>
  <si>
    <t>Remarks</t>
  </si>
  <si>
    <t>2021-22</t>
  </si>
  <si>
    <t>PC/21-22/1001</t>
  </si>
  <si>
    <t>PC/21-22/1002</t>
  </si>
  <si>
    <t>Postal charges for sending ID cards</t>
  </si>
  <si>
    <t>India Post</t>
  </si>
  <si>
    <t>PC/21-22/1003</t>
  </si>
  <si>
    <t>Courier - Laptop to Sundarajan (new joinee)</t>
  </si>
  <si>
    <t>PC/21-22/1004</t>
  </si>
  <si>
    <t>Courier - Battery to Vishnu V M</t>
  </si>
  <si>
    <t>PC/21-22/1005</t>
  </si>
  <si>
    <t>Courier - Laptop to Anju Suresh (AA req)</t>
  </si>
  <si>
    <t>PC/21-22/1006</t>
  </si>
  <si>
    <t xml:space="preserve">Courier - Battery to Lidiya Sunny </t>
  </si>
  <si>
    <t>PC/21-22/1007</t>
  </si>
  <si>
    <t>PC/21-22/1008</t>
  </si>
  <si>
    <t>Courier - Battery to Rakesh</t>
  </si>
  <si>
    <t>PC/21-22/1009</t>
  </si>
  <si>
    <t>Courier - Battery to Emmanuel</t>
  </si>
  <si>
    <t>PC/21-22/1010</t>
  </si>
  <si>
    <t>Courier - Laptop to Nora</t>
  </si>
  <si>
    <t>PC/21-22/1011</t>
  </si>
  <si>
    <t>Stamp paper - no bill</t>
  </si>
  <si>
    <t>Stamp paper vendor</t>
  </si>
  <si>
    <t>PC/21-22/1012</t>
  </si>
  <si>
    <t>Courier - Chola agreement</t>
  </si>
  <si>
    <t>Post office</t>
  </si>
  <si>
    <t>PC/21-22/1013</t>
  </si>
  <si>
    <t>PC/21-22/1014</t>
  </si>
  <si>
    <t>Office door mat</t>
  </si>
  <si>
    <t>Nilgiris</t>
  </si>
  <si>
    <t>PC/21-22/1015</t>
  </si>
  <si>
    <t>Courier - Laptop to Diljith</t>
  </si>
  <si>
    <t>PC/21-22/1016</t>
  </si>
  <si>
    <t>Courier - ID card and tags</t>
  </si>
  <si>
    <t>PC/21-22/1017</t>
  </si>
  <si>
    <t>Mothermart</t>
  </si>
  <si>
    <t>PC/21-22/1018</t>
  </si>
  <si>
    <t>Courier - Laptop to Rahoof with insurance</t>
  </si>
  <si>
    <t>PC/21-22/1019</t>
  </si>
  <si>
    <t>PC/21-22/1020</t>
  </si>
  <si>
    <t>Courier - Laptop to Soji with insurance</t>
  </si>
  <si>
    <t>PC/21-22/1021</t>
  </si>
  <si>
    <t>Instant preinked stamp printing</t>
  </si>
  <si>
    <t>PC/21-22/1022</t>
  </si>
  <si>
    <t>Courier - Battery to Soji</t>
  </si>
  <si>
    <t>PC/21-22/1023</t>
  </si>
  <si>
    <t>Courier - Laptop to Ashik</t>
  </si>
  <si>
    <t>PC/21-22/1024</t>
  </si>
  <si>
    <t>Courier - Laptop to Sonia</t>
  </si>
  <si>
    <t>PC/21-22/1025</t>
  </si>
  <si>
    <t>PC/21-22/1026</t>
  </si>
  <si>
    <t>Courier - Battery to Vyshnavi</t>
  </si>
  <si>
    <t>PC/21-22/1027</t>
  </si>
  <si>
    <t>Fuel reimbursement for off travels</t>
  </si>
  <si>
    <t>Shravan</t>
  </si>
  <si>
    <t>PC/21-22/1028</t>
  </si>
  <si>
    <t>Office shelf</t>
  </si>
  <si>
    <t>PC/21-22/1029</t>
  </si>
  <si>
    <t>PC/21-22/1030</t>
  </si>
  <si>
    <t>Courier - Anniversary gifts - Manoj, Rajeev</t>
  </si>
  <si>
    <t>PC/21-22/1031</t>
  </si>
  <si>
    <t>PC/21-22/1032</t>
  </si>
  <si>
    <t>PC/21-22/1033</t>
  </si>
  <si>
    <t>PC/21-22/1034</t>
  </si>
  <si>
    <t>PC/21-22/1035</t>
  </si>
  <si>
    <t>Courier - Anniversary gifts - Teenu,Renjith Koshy,Jiyadh, Alen,Thomas</t>
  </si>
  <si>
    <t>PC/21-22/1036</t>
  </si>
  <si>
    <t>Courier - Anniversary gifts - Aparna, Ann Koshy</t>
  </si>
  <si>
    <t>PC/21-22/1037</t>
  </si>
  <si>
    <t>PC/21-22/1038</t>
  </si>
  <si>
    <t>PC/21-22/1039</t>
  </si>
  <si>
    <t>Courier - Laptop to Sonia, Alen, Thomas</t>
  </si>
  <si>
    <t>PC/21-22/1040</t>
  </si>
  <si>
    <t>Battery courier - Amiya Anna Sabu</t>
  </si>
  <si>
    <t>PC/21-22/1041</t>
  </si>
  <si>
    <t>PC/21-22/1042</t>
  </si>
  <si>
    <t>PC/21-22/1043</t>
  </si>
  <si>
    <t>Be Mart</t>
  </si>
  <si>
    <t>PC/21-22/1044</t>
  </si>
  <si>
    <t>Courier Anniverary gift - Indu</t>
  </si>
  <si>
    <t>PC/21-22/1045</t>
  </si>
  <si>
    <t>Xmas celebrations at TVM</t>
  </si>
  <si>
    <t>Gastopia</t>
  </si>
  <si>
    <t>PC/21-22/1046</t>
  </si>
  <si>
    <t>Courier - laptop to Teenu</t>
  </si>
  <si>
    <t>Proff courier</t>
  </si>
  <si>
    <t>PC/21-22/1047</t>
  </si>
  <si>
    <t>Office cleaning charges</t>
  </si>
  <si>
    <t>Lathika</t>
  </si>
  <si>
    <t>PC/21-22/1048</t>
  </si>
  <si>
    <t>Courier - laptop to Aiswarya</t>
  </si>
  <si>
    <t>PC/21-22/1049</t>
  </si>
  <si>
    <t>PC/21-22/1050</t>
  </si>
  <si>
    <t>Courier - MK Solutions</t>
  </si>
  <si>
    <t>PC/21-22/1051</t>
  </si>
  <si>
    <t>PC/21-22/1052</t>
  </si>
  <si>
    <t>PC/21-22/1053</t>
  </si>
  <si>
    <t>PC/21-22/1054</t>
  </si>
  <si>
    <t>PC/21-22/1055</t>
  </si>
  <si>
    <t>PC/21-22/1056</t>
  </si>
  <si>
    <t>PC/21-22/1057</t>
  </si>
  <si>
    <t>PC/21-22/1058</t>
  </si>
  <si>
    <t>PC/21-22/1059</t>
  </si>
  <si>
    <t>PC/21-22/1060</t>
  </si>
  <si>
    <t>PC/21-22/1061</t>
  </si>
  <si>
    <t>PC/21-22/1062</t>
  </si>
  <si>
    <t>PC/21-22/1063</t>
  </si>
  <si>
    <t>Deposit Category</t>
  </si>
  <si>
    <t xml:space="preserve">Expense Category </t>
  </si>
  <si>
    <t>Original Amount-Deposite</t>
  </si>
  <si>
    <t>Original Amount-Expense</t>
  </si>
  <si>
    <t>Audited Amount</t>
  </si>
  <si>
    <t xml:space="preserve">Audit Rate	</t>
  </si>
  <si>
    <t>Final Amount</t>
  </si>
  <si>
    <t>Final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</si>
</sst>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"/>
    <numFmt numFmtId="165" formatCode="_ [$₹-4009]\ * #,##0.00_ ;_ [$₹-4009]\ * \-#,##0.00_ ;_ [$₹-4009]\ * &quot;-&quot;??_ ;_ @_ "/>
    <numFmt numFmtId="166" formatCode="[$-409]d/mmm/yy;@"/>
    <numFmt numFmtId="167" formatCode="_ [$₹-4009]\ * #,##0_ ;_ [$₹-4009]\ * \-#,##0_ ;_ [$₹-4009]\ * &quot;-&quot;??_ ;_ @_ "/>
    <numFmt numFmtId="168" formatCode="m/d/yyyy;@"/>
    <numFmt numFmtId="169" formatCode="_ [$BHD]\ * #,##0.00_ ;_ [$BHD]\ * \-#,##0.00_ ;_ [$BHD]\ * &quot;-&quot;??_ ;_ @_ "/>
    <numFmt numFmtId="170" formatCode="_ [$BHD]\ * #,##0.000_ ;_ [$BHD]\ * \-#,##0.000_ ;_ [$BHD]\ * &quot;-&quot;??_ ;_ @_ "/>
  </numFmts>
  <fonts count="24" x14ac:knownFonts="1">
    <font>
      <sz val="10"/>
      <name val="Arial"/>
    </font>
    <font>
      <sz val="8"/>
      <name val="Arial"/>
      <family val="2"/>
    </font>
    <font>
      <sz val="10"/>
      <name val="Arial"/>
      <family val="2"/>
      <scheme val="minor"/>
    </font>
    <font>
      <sz val="16"/>
      <color theme="1"/>
      <name val="Arial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  <scheme val="minor"/>
    </font>
    <font>
      <sz val="10"/>
      <color theme="0"/>
      <name val="Franklin Gothic Medium"/>
      <family val="2"/>
    </font>
    <font>
      <b/>
      <sz val="12"/>
      <name val="Arial"/>
      <family val="2"/>
      <scheme val="minor"/>
    </font>
    <font>
      <b/>
      <sz val="10"/>
      <color rgb="FF7030A0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  <font>
      <b/>
      <sz val="10"/>
      <name val="Arial"/>
      <family val="2"/>
      <scheme val="minor"/>
    </font>
    <font>
      <b/>
      <sz val="8"/>
      <name val="Arial"/>
      <family val="2"/>
      <scheme val="major"/>
    </font>
    <font>
      <sz val="9"/>
      <name val="Arial"/>
      <family val="2"/>
      <scheme val="minor"/>
    </font>
    <font>
      <sz val="9"/>
      <color theme="0"/>
      <name val="Franklin Gothic Medium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  <scheme val="minor"/>
    </font>
    <font>
      <sz val="8"/>
      <name val="Arial"/>
      <family val="2"/>
    </font>
    <font>
      <b/>
      <sz val="16"/>
      <color theme="0"/>
      <name val="Arial"/>
      <family val="2"/>
      <scheme val="major"/>
    </font>
    <font>
      <b/>
      <sz val="16"/>
      <color rgb="FFFF0000"/>
      <name val="Arial"/>
      <family val="2"/>
      <scheme val="major"/>
    </font>
    <font>
      <sz val="9"/>
      <name val="Arial"/>
      <family val="2"/>
    </font>
    <font>
      <b/>
      <sz val="8"/>
      <name val="Arial"/>
      <family val="2"/>
      <scheme val="major"/>
    </font>
    <font>
      <sz val="8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166" fontId="13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 wrapText="1"/>
    </xf>
    <xf numFmtId="165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165" fontId="13" fillId="0" borderId="0" xfId="0" applyNumberFormat="1" applyFont="1" applyAlignment="1">
      <alignment horizontal="right" vertical="center" wrapText="1"/>
    </xf>
    <xf numFmtId="0" fontId="14" fillId="0" borderId="0" xfId="0" applyFont="1"/>
    <xf numFmtId="167" fontId="1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 wrapText="1"/>
    </xf>
    <xf numFmtId="167" fontId="9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68" fontId="13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169" fontId="17" fillId="3" borderId="1" xfId="0" applyNumberFormat="1" applyFont="1" applyFill="1" applyBorder="1" applyAlignment="1">
      <alignment horizontal="right" vertical="center"/>
    </xf>
    <xf numFmtId="170" fontId="13" fillId="0" borderId="0" xfId="0" applyNumberFormat="1" applyFont="1" applyAlignment="1">
      <alignment horizontal="right" vertical="center"/>
    </xf>
    <xf numFmtId="170" fontId="2" fillId="0" borderId="0" xfId="0" applyNumberFormat="1" applyFont="1" applyAlignment="1">
      <alignment horizontal="right" vertical="center" wrapText="1"/>
    </xf>
    <xf numFmtId="170" fontId="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170" fontId="13" fillId="0" borderId="0" xfId="0" applyNumberFormat="1" applyFont="1" applyAlignment="1">
      <alignment vertical="center" wrapText="1"/>
    </xf>
    <xf numFmtId="0" fontId="19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13" fillId="0" borderId="0" xfId="0" quotePrefix="1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4" fontId="9" fillId="2" borderId="1" xfId="0" applyNumberFormat="1" applyFont="1" applyFill="1" applyBorder="1" applyAlignment="1">
      <alignment horizontal="left" vertical="center"/>
    </xf>
    <xf numFmtId="14" fontId="10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right" vertical="center" wrapText="1"/>
    </xf>
  </cellXfs>
  <cellStyles count="1">
    <cellStyle name="Normal" xfId="0" builtinId="0"/>
  </cellStyles>
  <dxfs count="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condense val="0"/>
        <extend val="0"/>
        <color indexed="10"/>
      </font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numFmt numFmtId="170" formatCode="_ [$BHD]\ * #,##0.000_ ;_ [$BHD]\ * \-#,##0.000_ ;_ [$BHD]\ * &quot;-&quot;??_ ;_ @_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numFmt numFmtId="170" formatCode="_ [$BHD]\ * #,##0.000_ ;_ [$BHD]\ * \-#,##0.000_ ;_ [$BHD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70" formatCode="_ [$BHD]\ * #,##0.000_ ;_ [$BHD]\ * \-#,##0.000_ ;_ [$BHD]\ * &quot;-&quot;??_ ;_ @_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8" formatCode="m/d/yy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8" formatCode="m/d/yy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8" formatCode="m/d/yy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8" formatCode="m/d/yy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8" formatCode="m/d/yy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7" formatCode="_ [$₹-4009]\ * #,##0_ ;_ [$₹-4009]\ * \-#,##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minor"/>
      </font>
      <numFmt numFmtId="168" formatCode="m/d/yy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990000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H141" totalsRowCount="1" headerRowDxfId="129" dataDxfId="128" totalsRowDxfId="127">
  <autoFilter ref="A5:H140" xr:uid="{BAA8E3C8-863B-424D-B23E-1E1562CF313C}"/>
  <tableColumns count="8">
    <tableColumn id="1" xr3:uid="{00000000-0010-0000-0000-000001000000}" name="Date" totalsRowLabel="Total" dataDxfId="126" totalsRowDxfId="125"/>
    <tableColumn id="2" xr3:uid="{00000000-0010-0000-0000-000002000000}" name="Receipt No." totalsRowFunction="count" dataDxfId="124" totalsRowDxfId="123"/>
    <tableColumn id="3" xr3:uid="{00000000-0010-0000-0000-000003000000}" name="Description" dataDxfId="122" totalsRowDxfId="121"/>
    <tableColumn id="4" xr3:uid="{00000000-0010-0000-0000-000004000000}" name="Amount Deposited" totalsRowFunction="sum" dataDxfId="120" totalsRowDxfId="119"/>
    <tableColumn id="5" xr3:uid="{00000000-0010-0000-0000-000005000000}" name="Amount Withdrawn" totalsRowFunction="sum" dataDxfId="118" totalsRowDxfId="117"/>
    <tableColumn id="6" xr3:uid="{00000000-0010-0000-0000-000006000000}" name="Charged To" dataDxfId="116" totalsRowDxfId="115"/>
    <tableColumn id="7" xr3:uid="{00000000-0010-0000-0000-000007000000}" name="Received By" dataDxfId="114" totalsRowDxfId="113"/>
    <tableColumn id="8" xr3:uid="{00000000-0010-0000-0000-000008000000}" name="Approved By" dataDxfId="112" totalsRowDxfId="1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8384EA-A6F4-46DE-B0AF-4F1F3CD4DCEA}" name="Table13" displayName="Table13" ref="A5:H168" totalsRowCount="1" headerRowDxfId="110" dataDxfId="109" totalsRowDxfId="108">
  <autoFilter ref="A5:H167" xr:uid="{BAA8E3C8-863B-424D-B23E-1E1562CF313C}">
    <filterColumn colId="6">
      <filters>
        <filter val="Digital House"/>
        <filter val="Digital House &amp; Chakra"/>
        <filter val="Haritham Digital"/>
      </filters>
    </filterColumn>
  </autoFilter>
  <tableColumns count="8">
    <tableColumn id="1" xr3:uid="{BE616882-8319-43FB-A865-22B9D3114EC1}" name="Date" totalsRowLabel="Total" dataDxfId="107" totalsRowDxfId="106"/>
    <tableColumn id="2" xr3:uid="{FAFC5CA0-00FC-4277-80FD-BBE8AD4846C3}" name="Receipt No." totalsRowFunction="count" dataDxfId="105" totalsRowDxfId="104"/>
    <tableColumn id="3" xr3:uid="{CAB0941A-A1D1-4440-AE74-B73F1AD95925}" name="Description" dataDxfId="103" totalsRowDxfId="102"/>
    <tableColumn id="4" xr3:uid="{2EB20159-6E50-4C9B-A02D-8C07F68F7BD1}" name="Amount Deposited" totalsRowFunction="sum" dataDxfId="101" totalsRowDxfId="100"/>
    <tableColumn id="5" xr3:uid="{B35A686D-9438-449F-8F59-4EF996EF483A}" name="Amount Withdrawn" totalsRowFunction="sum" dataDxfId="99" totalsRowDxfId="98"/>
    <tableColumn id="6" xr3:uid="{412314C3-B0A6-4C50-A0E8-0FB4B4069CD5}" name="Charged To" dataDxfId="97" totalsRowDxfId="96"/>
    <tableColumn id="7" xr3:uid="{0297D3EB-858F-4C06-AEF7-8687C624F841}" name="Received By" dataDxfId="95" totalsRowDxfId="94"/>
    <tableColumn id="8" xr3:uid="{260E5C16-D7ED-4A7F-A3B3-3D4785162D21}" name="Approved By" dataDxfId="93" totalsRowDxfId="9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18C996-0030-45AD-B17A-D423A09F4E0E}" name="Table136" displayName="Table136" ref="A5:H170" totalsRowCount="1" headerRowDxfId="91" dataDxfId="90" totalsRowDxfId="89">
  <autoFilter ref="A5:H169" xr:uid="{BAA8E3C8-863B-424D-B23E-1E1562CF313C}"/>
  <tableColumns count="8">
    <tableColumn id="1" xr3:uid="{07E26EDE-0C79-4FEA-A7FE-EE1F6522C13C}" name="Date" totalsRowLabel="Total" dataDxfId="88" totalsRowDxfId="87"/>
    <tableColumn id="2" xr3:uid="{82B8C9D0-A416-427B-AAD3-EE1535A0919B}" name="Receipt No." totalsRowFunction="count" dataDxfId="86" totalsRowDxfId="85"/>
    <tableColumn id="3" xr3:uid="{4AFCA37E-3940-4FD3-9AF6-CF23397FB874}" name="Description" dataDxfId="84" totalsRowDxfId="83"/>
    <tableColumn id="4" xr3:uid="{1A7445C8-AA02-463A-A4C7-D3EC87584C04}" name="Amount Deposited" totalsRowFunction="sum" dataDxfId="82" totalsRowDxfId="81"/>
    <tableColumn id="5" xr3:uid="{7E977498-20FD-4704-BCD8-7974489EEC01}" name="Amount Withdrawn" totalsRowFunction="sum" dataDxfId="80" totalsRowDxfId="79"/>
    <tableColumn id="6" xr3:uid="{4740B721-D105-4BF0-BF55-467C9945A656}" name="Charged To" dataDxfId="78" totalsRowDxfId="77"/>
    <tableColumn id="7" xr3:uid="{2163A1E3-6BD4-4079-855C-66E7460DDEBA}" name="Received By" dataDxfId="76" totalsRowDxfId="75"/>
    <tableColumn id="8" xr3:uid="{6FA90D63-2FFF-48DD-9BC3-04E523B2D160}" name="Approved By" dataDxfId="74" totalsRowDxfId="7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D441DF-444D-44A0-9DAB-C584DBC62033}" name="Table1367" displayName="Table1367" ref="A5:H170" totalsRowCount="1" headerRowDxfId="72" dataDxfId="71" totalsRowDxfId="70">
  <autoFilter ref="A5:H169" xr:uid="{BAA8E3C8-863B-424D-B23E-1E1562CF313C}"/>
  <tableColumns count="8">
    <tableColumn id="1" xr3:uid="{43C49A73-C368-4D37-8749-401AD97C18A8}" name="Date" totalsRowLabel="Total" dataDxfId="69" totalsRowDxfId="68"/>
    <tableColumn id="2" xr3:uid="{74F53108-BAB2-4BB4-A910-CF11BE398844}" name="Receipt No." totalsRowFunction="count" dataDxfId="67" totalsRowDxfId="66"/>
    <tableColumn id="3" xr3:uid="{94C08663-1A5D-4B84-9D11-6230E28A76D1}" name="Description" dataDxfId="65" totalsRowDxfId="64"/>
    <tableColumn id="4" xr3:uid="{180E1224-7E8B-497F-AB7B-6C3DCE9A4A68}" name="Amount Deposited" totalsRowFunction="sum" dataDxfId="63" totalsRowDxfId="62"/>
    <tableColumn id="5" xr3:uid="{A822CD7D-E124-4041-BE43-F839A84799A2}" name="Amount Withdrawn" totalsRowFunction="sum" dataDxfId="61" totalsRowDxfId="60"/>
    <tableColumn id="6" xr3:uid="{F54C2A50-C3C8-4702-8ADE-51768DE24331}" name="Charged To" dataDxfId="59" totalsRowDxfId="58"/>
    <tableColumn id="7" xr3:uid="{67CE6F09-9A61-4D58-B055-D506392A24D7}" name="Received By" dataDxfId="57" totalsRowDxfId="56"/>
    <tableColumn id="8" xr3:uid="{CB1C6611-2767-4041-BD4D-10085A1DA2B5}" name="Approved By" dataDxfId="55" totalsRowDxfId="5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08B608-8730-4616-B716-DDA0344BFA5B}" name="Table136789" displayName="Table136789" ref="A4:M123" totalsRowCount="1" headerRowDxfId="53" dataDxfId="52" totalsRowDxfId="51">
  <autoFilter ref="A4:M122" xr:uid="{1284CDB2-E0A3-4052-9326-7FBF4BAEEEED}"/>
  <tableColumns count="13">
    <tableColumn id="1" xr3:uid="{D4F3FF98-CD38-4747-9716-14329CE3E2AE}" name="Date" totalsRowLabel="Total" dataDxfId="31" totalsRowDxfId="13"/>
    <tableColumn id="3" xr3:uid="{023D7934-9890-48F8-BE95-A48F2B153BFF}" name="Description" dataDxfId="30" totalsRowDxfId="12"/>
    <tableColumn id="9" xr3:uid="{7F9A275B-03F6-4FE0-85CA-237A15AC79AC}" name="Deposit Category" dataDxfId="29" totalsRowDxfId="11"/>
    <tableColumn id="8" xr3:uid="{30F05E95-F39A-4AA0-911F-AD1087F42B6B}" name="Expense Category " dataDxfId="28" totalsRowDxfId="10"/>
    <tableColumn id="4" xr3:uid="{ED653C3A-688F-40EB-898C-BE1955F9808D}" name="Original Amount-Deposite" totalsRowFunction="sum" dataDxfId="27" totalsRowDxfId="9"/>
    <tableColumn id="5" xr3:uid="{4D7ADC8A-35DD-4ECF-9876-953F9DCB80F4}" name="Original Amount-Expense" totalsRowFunction="sum" dataDxfId="23" totalsRowDxfId="8"/>
    <tableColumn id="10" xr3:uid="{9CDF3E96-3DA8-4A2F-8C8B-CE2500CB823E}" name="Audited Amount" dataDxfId="22" totalsRowDxfId="7"/>
    <tableColumn id="11" xr3:uid="{38562079-FF04-4074-B3E7-605755EE7A01}" name="Audit Rate_x0009_" dataDxfId="21" totalsRowDxfId="6"/>
    <tableColumn id="12" xr3:uid="{7CB8C018-C3A2-44DF-B5E2-72A4CBEF5FAB}" name="Final Amount" dataDxfId="0"/>
    <tableColumn id="13" xr3:uid="{6FC56BCA-726E-4B00-BD43-430FD731B5F7}" name="Final Rate" dataDxfId="14" totalsRowDxfId="5"/>
    <tableColumn id="2" xr3:uid="{BEE8318F-FCE5-4F94-B86E-1A615340480B}" name="Received By" dataDxfId="26" totalsRowDxfId="4"/>
    <tableColumn id="7" xr3:uid="{2B120B31-9CE6-4F99-A238-DD45F5ABC674}" name="Balance" dataDxfId="25" totalsRowDxfId="3"/>
    <tableColumn id="6" xr3:uid="{681ABC89-4E1F-4FE0-8FF2-0EA689654658}" name="Remarks" dataDxfId="24" totalsRowDxfId="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84CDB2-E0A3-4052-9326-7FBF4BAEEEED}" name="Table13678" displayName="Table13678" ref="A5:H79" totalsRowCount="1" headerRowDxfId="50" dataDxfId="49" totalsRowDxfId="48">
  <autoFilter ref="A5:H78" xr:uid="{1284CDB2-E0A3-4052-9326-7FBF4BAEEEED}"/>
  <tableColumns count="8">
    <tableColumn id="1" xr3:uid="{6C471D2E-0B5A-452A-B6ED-CCD94DB24388}" name="Date" totalsRowLabel="Total" dataDxfId="47" totalsRowDxfId="46"/>
    <tableColumn id="2" xr3:uid="{4044760D-E2C5-4CAD-A33A-FC9400511D3C}" name="Receipt No." totalsRowFunction="count" dataDxfId="45" totalsRowDxfId="44"/>
    <tableColumn id="3" xr3:uid="{1A1D7094-7B4D-4A3D-8148-0ACF486BEB31}" name="Description" dataDxfId="43" totalsRowDxfId="42"/>
    <tableColumn id="4" xr3:uid="{C845876E-4635-4298-8CAF-73166E87541B}" name="Amount Deposited" totalsRowFunction="sum" dataDxfId="41" totalsRowDxfId="40"/>
    <tableColumn id="5" xr3:uid="{712923C5-C482-4365-B700-EE42B97EF07F}" name="Amount Withdrawn" totalsRowFunction="sum" dataDxfId="39" totalsRowDxfId="38"/>
    <tableColumn id="6" xr3:uid="{D499CAC0-1638-4F65-88E2-EB74E9A0DAA9}" name="Charged To" totalsRowFunction="custom" dataDxfId="37" totalsRowDxfId="36">
      <totalsRowFormula>Table13678[[#Totals],[Amount Deposited]]-Table13678[[#Totals],[Amount Withdrawn]]</totalsRowFormula>
    </tableColumn>
    <tableColumn id="7" xr3:uid="{9F872129-06CC-49AD-8CC9-B8FEE66F2CE1}" name="Received By" dataDxfId="35" totalsRowDxfId="34"/>
    <tableColumn id="8" xr3:uid="{7554030C-2390-4C39-BF54-EA0ADBB62B25}" name="Approved By" dataDxfId="33" totalsRowDxfId="3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41"/>
  <sheetViews>
    <sheetView showGridLines="0" topLeftCell="A121" workbookViewId="0">
      <selection activeCell="E138" sqref="E138"/>
    </sheetView>
  </sheetViews>
  <sheetFormatPr defaultColWidth="9.1796875" defaultRowHeight="12.5" x14ac:dyDescent="0.25"/>
  <cols>
    <col min="1" max="1" width="9.54296875" style="8" bestFit="1" customWidth="1"/>
    <col min="2" max="2" width="13.453125" style="8" bestFit="1" customWidth="1"/>
    <col min="3" max="3" width="31.81640625" style="5" bestFit="1" customWidth="1"/>
    <col min="4" max="4" width="15.81640625" style="9" bestFit="1" customWidth="1"/>
    <col min="5" max="5" width="16.1796875" style="9" bestFit="1" customWidth="1"/>
    <col min="6" max="6" width="18.453125" style="5" bestFit="1" customWidth="1"/>
    <col min="7" max="7" width="16.1796875" style="5" customWidth="1"/>
    <col min="8" max="8" width="13.54296875" style="8" bestFit="1" customWidth="1"/>
    <col min="9" max="9" width="9.1796875" style="5"/>
    <col min="10" max="10" width="17.453125" style="5" bestFit="1" customWidth="1"/>
    <col min="11" max="16384" width="9.1796875" style="5"/>
  </cols>
  <sheetData>
    <row r="1" spans="1:10" ht="20.5" thickBot="1" x14ac:dyDescent="0.3">
      <c r="A1" s="52" t="s">
        <v>0</v>
      </c>
      <c r="B1" s="52"/>
      <c r="C1" s="52"/>
      <c r="D1" s="52"/>
      <c r="E1" s="52"/>
      <c r="F1" s="52"/>
      <c r="G1" s="52"/>
      <c r="H1" s="30" t="s">
        <v>1</v>
      </c>
      <c r="I1" s="1"/>
      <c r="J1" s="6" t="s">
        <v>2</v>
      </c>
    </row>
    <row r="2" spans="1:10" ht="15.5" x14ac:dyDescent="0.25">
      <c r="A2" s="7"/>
      <c r="B2" s="2"/>
      <c r="C2" s="1"/>
      <c r="D2" s="43"/>
      <c r="E2" s="43"/>
      <c r="F2" s="1"/>
      <c r="G2" s="1"/>
      <c r="H2" s="2"/>
      <c r="I2" s="1"/>
      <c r="J2" s="6" t="s">
        <v>3</v>
      </c>
    </row>
    <row r="3" spans="1:10" ht="13.5" x14ac:dyDescent="0.25">
      <c r="A3" s="53" t="str">
        <f>"For "&amp;TEXT(MIN(A6:A140),"dd/mm/yyyy")&amp;" through "&amp;TEXT(MAX(A6:A140),"dd/mm/yyyy")</f>
        <v>For 01/04/2017 through 31/03/2018</v>
      </c>
      <c r="B3" s="54"/>
      <c r="C3" s="54"/>
      <c r="D3" s="10" t="s">
        <v>4</v>
      </c>
      <c r="E3" s="29">
        <f>D141-E141</f>
        <v>-3456.5800000000017</v>
      </c>
      <c r="F3" s="50"/>
      <c r="G3" s="51"/>
      <c r="H3" s="11"/>
      <c r="I3" s="1"/>
      <c r="J3" s="6" t="s">
        <v>5</v>
      </c>
    </row>
    <row r="4" spans="1:10" ht="13.5" x14ac:dyDescent="0.25">
      <c r="A4" s="12"/>
      <c r="B4" s="13"/>
      <c r="C4" s="1"/>
      <c r="D4" s="43"/>
      <c r="E4" s="43"/>
      <c r="F4" s="1"/>
      <c r="G4" s="1"/>
      <c r="H4" s="2"/>
      <c r="I4" s="1"/>
      <c r="J4" s="6" t="s">
        <v>6</v>
      </c>
    </row>
    <row r="5" spans="1:10" ht="13.5" x14ac:dyDescent="0.25">
      <c r="A5" s="14" t="s">
        <v>7</v>
      </c>
      <c r="B5" s="14" t="s">
        <v>8</v>
      </c>
      <c r="C5" s="15" t="s">
        <v>9</v>
      </c>
      <c r="D5" s="16" t="s">
        <v>10</v>
      </c>
      <c r="E5" s="16" t="s">
        <v>11</v>
      </c>
      <c r="F5" s="15" t="s">
        <v>12</v>
      </c>
      <c r="G5" s="15" t="s">
        <v>13</v>
      </c>
      <c r="H5" s="14" t="s">
        <v>14</v>
      </c>
      <c r="I5" s="1"/>
      <c r="J5" s="6" t="s">
        <v>15</v>
      </c>
    </row>
    <row r="6" spans="1:10" s="21" customFormat="1" x14ac:dyDescent="0.25">
      <c r="A6" s="17">
        <v>42826</v>
      </c>
      <c r="B6" s="18" t="s">
        <v>16</v>
      </c>
      <c r="C6" s="19" t="s">
        <v>17</v>
      </c>
      <c r="D6" s="20">
        <v>28</v>
      </c>
      <c r="E6" s="20"/>
      <c r="F6" s="21" t="s">
        <v>18</v>
      </c>
      <c r="G6" s="19" t="s">
        <v>19</v>
      </c>
      <c r="H6" s="22" t="s">
        <v>20</v>
      </c>
      <c r="J6" s="23" t="s">
        <v>21</v>
      </c>
    </row>
    <row r="7" spans="1:10" s="21" customFormat="1" x14ac:dyDescent="0.35">
      <c r="A7" s="17">
        <v>42826</v>
      </c>
      <c r="B7" s="18" t="s">
        <v>22</v>
      </c>
      <c r="C7" s="19" t="s">
        <v>23</v>
      </c>
      <c r="D7" s="24"/>
      <c r="E7" s="20">
        <v>266</v>
      </c>
      <c r="F7" s="21" t="s">
        <v>2</v>
      </c>
      <c r="G7" s="19" t="s">
        <v>24</v>
      </c>
      <c r="H7" s="22" t="s">
        <v>19</v>
      </c>
      <c r="J7" s="25" t="s">
        <v>18</v>
      </c>
    </row>
    <row r="8" spans="1:10" s="21" customFormat="1" ht="11.5" x14ac:dyDescent="0.25">
      <c r="A8" s="17">
        <v>42829</v>
      </c>
      <c r="B8" s="18" t="s">
        <v>25</v>
      </c>
      <c r="C8" s="19" t="s">
        <v>26</v>
      </c>
      <c r="D8" s="24"/>
      <c r="E8" s="20">
        <f>60*2</f>
        <v>120</v>
      </c>
      <c r="F8" s="21" t="s">
        <v>21</v>
      </c>
      <c r="G8" s="19" t="s">
        <v>27</v>
      </c>
      <c r="H8" s="22" t="s">
        <v>19</v>
      </c>
    </row>
    <row r="9" spans="1:10" s="21" customFormat="1" ht="11.5" x14ac:dyDescent="0.25">
      <c r="A9" s="17">
        <v>42829</v>
      </c>
      <c r="B9" s="18" t="s">
        <v>28</v>
      </c>
      <c r="C9" s="19" t="s">
        <v>29</v>
      </c>
      <c r="D9" s="24"/>
      <c r="E9" s="20">
        <v>60</v>
      </c>
      <c r="F9" s="21" t="s">
        <v>21</v>
      </c>
      <c r="G9" s="19" t="s">
        <v>30</v>
      </c>
      <c r="H9" s="22" t="s">
        <v>19</v>
      </c>
    </row>
    <row r="10" spans="1:10" s="21" customFormat="1" ht="11.5" x14ac:dyDescent="0.25">
      <c r="A10" s="17">
        <v>42830</v>
      </c>
      <c r="B10" s="18" t="s">
        <v>31</v>
      </c>
      <c r="C10" s="19" t="s">
        <v>32</v>
      </c>
      <c r="D10" s="24"/>
      <c r="E10" s="20">
        <v>460</v>
      </c>
      <c r="F10" s="21" t="s">
        <v>21</v>
      </c>
      <c r="G10" s="19" t="s">
        <v>33</v>
      </c>
      <c r="H10" s="22" t="s">
        <v>19</v>
      </c>
    </row>
    <row r="11" spans="1:10" s="21" customFormat="1" ht="11.5" x14ac:dyDescent="0.25">
      <c r="A11" s="17">
        <v>42831</v>
      </c>
      <c r="B11" s="18" t="s">
        <v>34</v>
      </c>
      <c r="C11" s="19" t="s">
        <v>35</v>
      </c>
      <c r="D11" s="24"/>
      <c r="E11" s="20">
        <v>570</v>
      </c>
      <c r="F11" s="21" t="s">
        <v>15</v>
      </c>
      <c r="G11" s="19" t="s">
        <v>36</v>
      </c>
      <c r="H11" s="22" t="s">
        <v>19</v>
      </c>
    </row>
    <row r="12" spans="1:10" s="21" customFormat="1" ht="11.5" x14ac:dyDescent="0.25">
      <c r="A12" s="17">
        <v>42831</v>
      </c>
      <c r="B12" s="18" t="s">
        <v>37</v>
      </c>
      <c r="C12" s="19" t="s">
        <v>38</v>
      </c>
      <c r="D12" s="24"/>
      <c r="E12" s="20">
        <v>145</v>
      </c>
      <c r="F12" s="21" t="s">
        <v>15</v>
      </c>
      <c r="G12" s="19" t="s">
        <v>39</v>
      </c>
      <c r="H12" s="22" t="s">
        <v>19</v>
      </c>
    </row>
    <row r="13" spans="1:10" s="21" customFormat="1" ht="11.5" x14ac:dyDescent="0.25">
      <c r="A13" s="17">
        <v>42831</v>
      </c>
      <c r="B13" s="18" t="s">
        <v>40</v>
      </c>
      <c r="C13" s="19" t="s">
        <v>41</v>
      </c>
      <c r="D13" s="24"/>
      <c r="E13" s="20">
        <v>1032</v>
      </c>
      <c r="F13" s="21" t="s">
        <v>15</v>
      </c>
      <c r="G13" s="19" t="s">
        <v>39</v>
      </c>
      <c r="H13" s="22" t="s">
        <v>19</v>
      </c>
    </row>
    <row r="14" spans="1:10" s="21" customFormat="1" ht="11.5" x14ac:dyDescent="0.25">
      <c r="A14" s="17">
        <v>42832</v>
      </c>
      <c r="B14" s="18"/>
      <c r="C14" s="19" t="s">
        <v>42</v>
      </c>
      <c r="D14" s="24">
        <v>10000</v>
      </c>
      <c r="E14" s="20"/>
      <c r="F14" s="21" t="s">
        <v>18</v>
      </c>
      <c r="G14" s="19"/>
      <c r="H14" s="22" t="s">
        <v>20</v>
      </c>
    </row>
    <row r="15" spans="1:10" s="21" customFormat="1" ht="11.5" x14ac:dyDescent="0.25">
      <c r="A15" s="17">
        <v>42834</v>
      </c>
      <c r="B15" s="18" t="s">
        <v>43</v>
      </c>
      <c r="C15" s="19" t="s">
        <v>23</v>
      </c>
      <c r="D15" s="24"/>
      <c r="E15" s="20">
        <v>523</v>
      </c>
      <c r="F15" s="21" t="s">
        <v>2</v>
      </c>
      <c r="G15" s="19" t="s">
        <v>44</v>
      </c>
      <c r="H15" s="22" t="s">
        <v>19</v>
      </c>
    </row>
    <row r="16" spans="1:10" s="21" customFormat="1" ht="11.5" x14ac:dyDescent="0.25">
      <c r="A16" s="17">
        <v>42841</v>
      </c>
      <c r="B16" s="18" t="s">
        <v>45</v>
      </c>
      <c r="C16" s="19" t="s">
        <v>23</v>
      </c>
      <c r="D16" s="24"/>
      <c r="E16" s="20">
        <v>915</v>
      </c>
      <c r="F16" s="21" t="s">
        <v>2</v>
      </c>
      <c r="G16" s="19" t="s">
        <v>46</v>
      </c>
      <c r="H16" s="22" t="s">
        <v>19</v>
      </c>
    </row>
    <row r="17" spans="1:8" s="21" customFormat="1" ht="11.5" x14ac:dyDescent="0.25">
      <c r="A17" s="17">
        <v>42844</v>
      </c>
      <c r="B17" s="18" t="s">
        <v>47</v>
      </c>
      <c r="C17" s="19" t="s">
        <v>48</v>
      </c>
      <c r="D17" s="24"/>
      <c r="E17" s="20">
        <v>100</v>
      </c>
      <c r="F17" s="21" t="s">
        <v>15</v>
      </c>
      <c r="G17" s="19" t="s">
        <v>49</v>
      </c>
      <c r="H17" s="22" t="s">
        <v>20</v>
      </c>
    </row>
    <row r="18" spans="1:8" s="21" customFormat="1" ht="11.5" x14ac:dyDescent="0.25">
      <c r="A18" s="17">
        <v>42845</v>
      </c>
      <c r="B18" s="18" t="s">
        <v>50</v>
      </c>
      <c r="C18" s="19" t="s">
        <v>41</v>
      </c>
      <c r="D18" s="24"/>
      <c r="E18" s="20">
        <v>344</v>
      </c>
      <c r="F18" s="21" t="s">
        <v>15</v>
      </c>
      <c r="G18" s="19" t="s">
        <v>39</v>
      </c>
      <c r="H18" s="22" t="s">
        <v>19</v>
      </c>
    </row>
    <row r="19" spans="1:8" s="21" customFormat="1" ht="23" x14ac:dyDescent="0.25">
      <c r="A19" s="17">
        <v>42847</v>
      </c>
      <c r="B19" s="18" t="s">
        <v>51</v>
      </c>
      <c r="C19" s="19" t="s">
        <v>52</v>
      </c>
      <c r="D19" s="24"/>
      <c r="E19" s="20">
        <v>40</v>
      </c>
      <c r="F19" s="21" t="s">
        <v>3</v>
      </c>
      <c r="G19" s="19" t="s">
        <v>53</v>
      </c>
      <c r="H19" s="22" t="s">
        <v>19</v>
      </c>
    </row>
    <row r="20" spans="1:8" s="21" customFormat="1" ht="11.5" x14ac:dyDescent="0.25">
      <c r="A20" s="17">
        <v>42849</v>
      </c>
      <c r="B20" s="18" t="s">
        <v>54</v>
      </c>
      <c r="C20" s="19" t="s">
        <v>55</v>
      </c>
      <c r="D20" s="24"/>
      <c r="E20" s="20">
        <v>80</v>
      </c>
      <c r="F20" s="21" t="s">
        <v>2</v>
      </c>
      <c r="G20" s="19" t="s">
        <v>56</v>
      </c>
      <c r="H20" s="22" t="s">
        <v>19</v>
      </c>
    </row>
    <row r="21" spans="1:8" s="21" customFormat="1" ht="23" x14ac:dyDescent="0.25">
      <c r="A21" s="17">
        <v>42850</v>
      </c>
      <c r="B21" s="18" t="s">
        <v>57</v>
      </c>
      <c r="C21" s="19" t="s">
        <v>58</v>
      </c>
      <c r="D21" s="24"/>
      <c r="E21" s="20">
        <v>60</v>
      </c>
      <c r="F21" s="21" t="s">
        <v>3</v>
      </c>
      <c r="G21" s="19" t="s">
        <v>53</v>
      </c>
      <c r="H21" s="22" t="s">
        <v>19</v>
      </c>
    </row>
    <row r="22" spans="1:8" s="21" customFormat="1" ht="23" x14ac:dyDescent="0.25">
      <c r="A22" s="17">
        <v>42853</v>
      </c>
      <c r="B22" s="18" t="s">
        <v>59</v>
      </c>
      <c r="C22" s="19" t="s">
        <v>52</v>
      </c>
      <c r="D22" s="24"/>
      <c r="E22" s="20">
        <v>40</v>
      </c>
      <c r="F22" s="21" t="s">
        <v>3</v>
      </c>
      <c r="G22" s="19" t="s">
        <v>53</v>
      </c>
      <c r="H22" s="22" t="s">
        <v>19</v>
      </c>
    </row>
    <row r="23" spans="1:8" s="21" customFormat="1" ht="11.5" x14ac:dyDescent="0.25">
      <c r="A23" s="17">
        <v>42854</v>
      </c>
      <c r="B23" s="18" t="s">
        <v>60</v>
      </c>
      <c r="C23" s="19" t="s">
        <v>61</v>
      </c>
      <c r="D23" s="24"/>
      <c r="E23" s="20">
        <v>2280</v>
      </c>
      <c r="F23" s="21" t="s">
        <v>2</v>
      </c>
      <c r="G23" s="19" t="s">
        <v>62</v>
      </c>
      <c r="H23" s="22" t="s">
        <v>19</v>
      </c>
    </row>
    <row r="24" spans="1:8" s="21" customFormat="1" ht="11.5" x14ac:dyDescent="0.25">
      <c r="A24" s="17">
        <v>42859</v>
      </c>
      <c r="B24" s="18" t="s">
        <v>63</v>
      </c>
      <c r="C24" s="19" t="s">
        <v>64</v>
      </c>
      <c r="D24" s="24"/>
      <c r="E24" s="20">
        <v>840</v>
      </c>
      <c r="F24" s="21" t="s">
        <v>21</v>
      </c>
      <c r="G24" s="19" t="s">
        <v>65</v>
      </c>
      <c r="H24" s="22" t="s">
        <v>19</v>
      </c>
    </row>
    <row r="25" spans="1:8" s="21" customFormat="1" ht="11.5" x14ac:dyDescent="0.25">
      <c r="A25" s="17">
        <v>42864</v>
      </c>
      <c r="B25" s="18" t="s">
        <v>66</v>
      </c>
      <c r="C25" s="19" t="s">
        <v>67</v>
      </c>
      <c r="D25" s="24"/>
      <c r="E25" s="20">
        <v>1615</v>
      </c>
      <c r="F25" s="21" t="s">
        <v>2</v>
      </c>
      <c r="G25" s="19" t="s">
        <v>56</v>
      </c>
      <c r="H25" s="22" t="s">
        <v>19</v>
      </c>
    </row>
    <row r="26" spans="1:8" s="21" customFormat="1" ht="11.5" x14ac:dyDescent="0.25">
      <c r="A26" s="17">
        <v>42864</v>
      </c>
      <c r="B26" s="18" t="s">
        <v>68</v>
      </c>
      <c r="C26" s="19" t="s">
        <v>69</v>
      </c>
      <c r="D26" s="24"/>
      <c r="E26" s="20">
        <v>255</v>
      </c>
      <c r="F26" s="21" t="s">
        <v>2</v>
      </c>
      <c r="G26" s="19" t="s">
        <v>56</v>
      </c>
      <c r="H26" s="22" t="s">
        <v>19</v>
      </c>
    </row>
    <row r="27" spans="1:8" s="21" customFormat="1" ht="11.5" x14ac:dyDescent="0.25">
      <c r="A27" s="17">
        <v>42865</v>
      </c>
      <c r="B27" s="18" t="s">
        <v>70</v>
      </c>
      <c r="C27" s="19" t="s">
        <v>71</v>
      </c>
      <c r="D27" s="24"/>
      <c r="E27" s="20">
        <v>410</v>
      </c>
      <c r="F27" s="21" t="s">
        <v>15</v>
      </c>
      <c r="G27" s="19" t="s">
        <v>72</v>
      </c>
      <c r="H27" s="22" t="s">
        <v>19</v>
      </c>
    </row>
    <row r="28" spans="1:8" s="21" customFormat="1" ht="23" x14ac:dyDescent="0.25">
      <c r="A28" s="17">
        <v>42865</v>
      </c>
      <c r="B28" s="18" t="s">
        <v>73</v>
      </c>
      <c r="C28" s="19" t="s">
        <v>52</v>
      </c>
      <c r="D28" s="24"/>
      <c r="E28" s="20">
        <v>30</v>
      </c>
      <c r="F28" s="21" t="s">
        <v>3</v>
      </c>
      <c r="G28" s="19" t="s">
        <v>53</v>
      </c>
      <c r="H28" s="22" t="s">
        <v>19</v>
      </c>
    </row>
    <row r="29" spans="1:8" s="21" customFormat="1" ht="11.5" x14ac:dyDescent="0.25">
      <c r="A29" s="17">
        <v>42866</v>
      </c>
      <c r="B29" s="18" t="s">
        <v>74</v>
      </c>
      <c r="C29" s="19" t="s">
        <v>75</v>
      </c>
      <c r="D29" s="24"/>
      <c r="E29" s="20">
        <v>600</v>
      </c>
      <c r="F29" s="21" t="s">
        <v>2</v>
      </c>
      <c r="G29" s="19" t="s">
        <v>76</v>
      </c>
      <c r="H29" s="22" t="s">
        <v>19</v>
      </c>
    </row>
    <row r="30" spans="1:8" s="21" customFormat="1" ht="11.5" x14ac:dyDescent="0.25">
      <c r="A30" s="17">
        <v>42867</v>
      </c>
      <c r="B30" s="18" t="s">
        <v>77</v>
      </c>
      <c r="C30" s="19" t="s">
        <v>78</v>
      </c>
      <c r="D30" s="24"/>
      <c r="E30" s="20">
        <v>1226</v>
      </c>
      <c r="F30" s="21" t="s">
        <v>2</v>
      </c>
      <c r="G30" s="19" t="s">
        <v>79</v>
      </c>
      <c r="H30" s="22" t="s">
        <v>19</v>
      </c>
    </row>
    <row r="31" spans="1:8" s="21" customFormat="1" ht="23" x14ac:dyDescent="0.25">
      <c r="A31" s="17">
        <v>42872</v>
      </c>
      <c r="B31" s="18" t="s">
        <v>80</v>
      </c>
      <c r="C31" s="19" t="s">
        <v>81</v>
      </c>
      <c r="D31" s="24"/>
      <c r="E31" s="20">
        <v>80</v>
      </c>
      <c r="F31" s="21" t="s">
        <v>3</v>
      </c>
      <c r="G31" s="19" t="s">
        <v>53</v>
      </c>
      <c r="H31" s="22" t="s">
        <v>19</v>
      </c>
    </row>
    <row r="32" spans="1:8" s="21" customFormat="1" ht="23" x14ac:dyDescent="0.25">
      <c r="A32" s="17">
        <v>42872</v>
      </c>
      <c r="B32" s="18" t="s">
        <v>82</v>
      </c>
      <c r="C32" s="19" t="s">
        <v>83</v>
      </c>
      <c r="D32" s="24"/>
      <c r="E32" s="20">
        <v>60</v>
      </c>
      <c r="F32" s="21" t="s">
        <v>3</v>
      </c>
      <c r="G32" s="19" t="s">
        <v>53</v>
      </c>
      <c r="H32" s="22" t="s">
        <v>19</v>
      </c>
    </row>
    <row r="33" spans="1:8" s="21" customFormat="1" ht="11.5" x14ac:dyDescent="0.25">
      <c r="A33" s="17">
        <v>42875</v>
      </c>
      <c r="B33" s="18" t="s">
        <v>84</v>
      </c>
      <c r="C33" s="19" t="s">
        <v>85</v>
      </c>
      <c r="D33" s="24"/>
      <c r="E33" s="20">
        <v>497</v>
      </c>
      <c r="F33" s="21" t="s">
        <v>2</v>
      </c>
      <c r="G33" s="19" t="s">
        <v>46</v>
      </c>
      <c r="H33" s="22" t="s">
        <v>19</v>
      </c>
    </row>
    <row r="34" spans="1:8" s="21" customFormat="1" ht="11.5" x14ac:dyDescent="0.25">
      <c r="A34" s="17">
        <v>42886</v>
      </c>
      <c r="B34" s="18" t="s">
        <v>86</v>
      </c>
      <c r="C34" s="19" t="s">
        <v>87</v>
      </c>
      <c r="D34" s="24"/>
      <c r="E34" s="20">
        <v>480</v>
      </c>
      <c r="F34" s="21" t="s">
        <v>15</v>
      </c>
      <c r="G34" s="19" t="s">
        <v>88</v>
      </c>
      <c r="H34" s="22" t="s">
        <v>19</v>
      </c>
    </row>
    <row r="35" spans="1:8" s="21" customFormat="1" ht="23" x14ac:dyDescent="0.25">
      <c r="A35" s="17">
        <v>42886</v>
      </c>
      <c r="B35" s="18" t="s">
        <v>89</v>
      </c>
      <c r="C35" s="19" t="s">
        <v>90</v>
      </c>
      <c r="D35" s="24"/>
      <c r="E35" s="20">
        <v>680</v>
      </c>
      <c r="F35" s="21" t="s">
        <v>15</v>
      </c>
      <c r="G35" s="19" t="s">
        <v>91</v>
      </c>
      <c r="H35" s="22" t="s">
        <v>19</v>
      </c>
    </row>
    <row r="36" spans="1:8" s="21" customFormat="1" ht="11.5" x14ac:dyDescent="0.25">
      <c r="A36" s="17">
        <v>42891</v>
      </c>
      <c r="B36" s="18" t="s">
        <v>92</v>
      </c>
      <c r="C36" s="19" t="s">
        <v>93</v>
      </c>
      <c r="D36" s="24"/>
      <c r="E36" s="26">
        <v>1709.9</v>
      </c>
      <c r="F36" s="21" t="s">
        <v>15</v>
      </c>
      <c r="G36" s="19" t="s">
        <v>94</v>
      </c>
      <c r="H36" s="22" t="s">
        <v>19</v>
      </c>
    </row>
    <row r="37" spans="1:8" s="21" customFormat="1" ht="23" x14ac:dyDescent="0.25">
      <c r="A37" s="17">
        <v>42892</v>
      </c>
      <c r="B37" s="18" t="s">
        <v>95</v>
      </c>
      <c r="C37" s="19" t="s">
        <v>96</v>
      </c>
      <c r="D37" s="24"/>
      <c r="E37" s="20">
        <v>870</v>
      </c>
      <c r="F37" s="21" t="s">
        <v>15</v>
      </c>
      <c r="G37" s="19" t="s">
        <v>97</v>
      </c>
      <c r="H37" s="22" t="s">
        <v>19</v>
      </c>
    </row>
    <row r="38" spans="1:8" s="21" customFormat="1" ht="11.5" x14ac:dyDescent="0.25">
      <c r="A38" s="17">
        <v>42896</v>
      </c>
      <c r="B38" s="18" t="s">
        <v>98</v>
      </c>
      <c r="C38" s="19" t="s">
        <v>85</v>
      </c>
      <c r="D38" s="24"/>
      <c r="E38" s="20">
        <v>682</v>
      </c>
      <c r="F38" s="21" t="s">
        <v>2</v>
      </c>
      <c r="G38" s="19" t="s">
        <v>24</v>
      </c>
      <c r="H38" s="22" t="s">
        <v>19</v>
      </c>
    </row>
    <row r="39" spans="1:8" s="21" customFormat="1" ht="11.5" x14ac:dyDescent="0.25">
      <c r="A39" s="17">
        <v>42899</v>
      </c>
      <c r="B39" s="18" t="s">
        <v>99</v>
      </c>
      <c r="C39" s="19" t="s">
        <v>100</v>
      </c>
      <c r="D39" s="24"/>
      <c r="E39" s="20">
        <v>1840</v>
      </c>
      <c r="F39" s="21" t="s">
        <v>2</v>
      </c>
      <c r="G39" s="19" t="s">
        <v>56</v>
      </c>
      <c r="H39" s="22" t="s">
        <v>19</v>
      </c>
    </row>
    <row r="40" spans="1:8" s="21" customFormat="1" ht="11.5" x14ac:dyDescent="0.25">
      <c r="A40" s="17">
        <v>42901</v>
      </c>
      <c r="B40" s="18" t="s">
        <v>101</v>
      </c>
      <c r="C40" s="19" t="s">
        <v>102</v>
      </c>
      <c r="D40" s="24"/>
      <c r="E40" s="20">
        <v>240</v>
      </c>
      <c r="F40" s="21" t="s">
        <v>2</v>
      </c>
      <c r="G40" s="19" t="s">
        <v>56</v>
      </c>
      <c r="H40" s="22" t="s">
        <v>19</v>
      </c>
    </row>
    <row r="41" spans="1:8" s="21" customFormat="1" ht="11.5" x14ac:dyDescent="0.25">
      <c r="A41" s="17">
        <v>42903</v>
      </c>
      <c r="B41" s="18" t="s">
        <v>103</v>
      </c>
      <c r="C41" s="19" t="s">
        <v>104</v>
      </c>
      <c r="D41" s="24"/>
      <c r="E41" s="20">
        <v>50</v>
      </c>
      <c r="F41" s="21" t="s">
        <v>5</v>
      </c>
      <c r="G41" s="19" t="s">
        <v>105</v>
      </c>
      <c r="H41" s="22" t="s">
        <v>19</v>
      </c>
    </row>
    <row r="42" spans="1:8" s="21" customFormat="1" ht="11.5" x14ac:dyDescent="0.25">
      <c r="A42" s="17">
        <v>42904</v>
      </c>
      <c r="B42" s="18" t="s">
        <v>106</v>
      </c>
      <c r="C42" s="19" t="s">
        <v>107</v>
      </c>
      <c r="D42" s="24"/>
      <c r="E42" s="20">
        <v>520</v>
      </c>
      <c r="F42" s="21" t="s">
        <v>15</v>
      </c>
      <c r="G42" s="19" t="s">
        <v>108</v>
      </c>
      <c r="H42" s="22" t="s">
        <v>19</v>
      </c>
    </row>
    <row r="43" spans="1:8" s="21" customFormat="1" ht="11.5" x14ac:dyDescent="0.25">
      <c r="A43" s="17">
        <v>42905</v>
      </c>
      <c r="B43" s="18"/>
      <c r="C43" s="19" t="s">
        <v>42</v>
      </c>
      <c r="D43" s="24">
        <v>10000</v>
      </c>
      <c r="E43" s="20"/>
      <c r="F43" s="21" t="s">
        <v>18</v>
      </c>
      <c r="G43" s="19"/>
      <c r="H43" s="22" t="s">
        <v>20</v>
      </c>
    </row>
    <row r="44" spans="1:8" s="21" customFormat="1" ht="11.5" x14ac:dyDescent="0.25">
      <c r="A44" s="17">
        <v>42911</v>
      </c>
      <c r="B44" s="18" t="s">
        <v>109</v>
      </c>
      <c r="C44" s="19" t="s">
        <v>85</v>
      </c>
      <c r="D44" s="24"/>
      <c r="E44" s="20">
        <v>247</v>
      </c>
      <c r="F44" s="21" t="s">
        <v>2</v>
      </c>
      <c r="G44" s="19" t="s">
        <v>46</v>
      </c>
      <c r="H44" s="22" t="s">
        <v>19</v>
      </c>
    </row>
    <row r="45" spans="1:8" s="21" customFormat="1" ht="11.5" x14ac:dyDescent="0.25">
      <c r="A45" s="17">
        <v>42913</v>
      </c>
      <c r="B45" s="18" t="s">
        <v>110</v>
      </c>
      <c r="C45" s="19" t="s">
        <v>75</v>
      </c>
      <c r="D45" s="24"/>
      <c r="E45" s="20">
        <v>100</v>
      </c>
      <c r="F45" s="21" t="s">
        <v>2</v>
      </c>
      <c r="G45" s="19" t="s">
        <v>76</v>
      </c>
      <c r="H45" s="22" t="s">
        <v>19</v>
      </c>
    </row>
    <row r="46" spans="1:8" s="21" customFormat="1" ht="11.5" x14ac:dyDescent="0.25">
      <c r="A46" s="17">
        <v>42915</v>
      </c>
      <c r="B46" s="18" t="s">
        <v>111</v>
      </c>
      <c r="C46" s="19" t="s">
        <v>112</v>
      </c>
      <c r="D46" s="24"/>
      <c r="E46" s="20">
        <v>235</v>
      </c>
      <c r="F46" s="21" t="s">
        <v>15</v>
      </c>
      <c r="G46" s="19" t="s">
        <v>113</v>
      </c>
      <c r="H46" s="22" t="s">
        <v>19</v>
      </c>
    </row>
    <row r="47" spans="1:8" s="21" customFormat="1" ht="11.5" x14ac:dyDescent="0.25">
      <c r="A47" s="17">
        <v>42915</v>
      </c>
      <c r="B47" s="18" t="s">
        <v>114</v>
      </c>
      <c r="C47" s="19" t="s">
        <v>112</v>
      </c>
      <c r="D47" s="24"/>
      <c r="E47" s="20">
        <v>160</v>
      </c>
      <c r="F47" s="21" t="s">
        <v>15</v>
      </c>
      <c r="G47" s="19" t="s">
        <v>115</v>
      </c>
      <c r="H47" s="22" t="s">
        <v>19</v>
      </c>
    </row>
    <row r="48" spans="1:8" s="21" customFormat="1" ht="11.5" x14ac:dyDescent="0.25">
      <c r="A48" s="17">
        <v>42916</v>
      </c>
      <c r="B48" s="18" t="s">
        <v>116</v>
      </c>
      <c r="C48" s="19" t="s">
        <v>117</v>
      </c>
      <c r="D48" s="24"/>
      <c r="E48" s="20">
        <v>1654</v>
      </c>
      <c r="F48" s="21" t="s">
        <v>15</v>
      </c>
      <c r="G48" s="19" t="s">
        <v>94</v>
      </c>
      <c r="H48" s="22" t="s">
        <v>19</v>
      </c>
    </row>
    <row r="49" spans="1:8" s="21" customFormat="1" ht="11.5" x14ac:dyDescent="0.25">
      <c r="A49" s="17">
        <v>42918</v>
      </c>
      <c r="B49" s="18" t="s">
        <v>118</v>
      </c>
      <c r="C49" s="19" t="s">
        <v>119</v>
      </c>
      <c r="D49" s="24"/>
      <c r="E49" s="20">
        <v>295</v>
      </c>
      <c r="F49" s="21" t="s">
        <v>15</v>
      </c>
      <c r="G49" s="19" t="s">
        <v>120</v>
      </c>
      <c r="H49" s="22" t="s">
        <v>19</v>
      </c>
    </row>
    <row r="50" spans="1:8" ht="23" x14ac:dyDescent="0.25">
      <c r="A50" s="17">
        <v>42922</v>
      </c>
      <c r="B50" s="18" t="s">
        <v>121</v>
      </c>
      <c r="C50" s="19" t="s">
        <v>122</v>
      </c>
      <c r="D50" s="24"/>
      <c r="E50" s="20">
        <v>30</v>
      </c>
      <c r="F50" s="21" t="s">
        <v>3</v>
      </c>
      <c r="G50" s="19" t="s">
        <v>53</v>
      </c>
      <c r="H50" s="22" t="s">
        <v>19</v>
      </c>
    </row>
    <row r="51" spans="1:8" ht="23" x14ac:dyDescent="0.25">
      <c r="A51" s="17">
        <v>42924</v>
      </c>
      <c r="B51" s="18" t="s">
        <v>123</v>
      </c>
      <c r="C51" s="19" t="s">
        <v>122</v>
      </c>
      <c r="D51" s="24"/>
      <c r="E51" s="20">
        <v>30</v>
      </c>
      <c r="F51" s="21" t="s">
        <v>3</v>
      </c>
      <c r="G51" s="19" t="s">
        <v>53</v>
      </c>
      <c r="H51" s="22" t="s">
        <v>19</v>
      </c>
    </row>
    <row r="52" spans="1:8" x14ac:dyDescent="0.25">
      <c r="A52" s="17">
        <v>42924</v>
      </c>
      <c r="B52" s="18" t="s">
        <v>124</v>
      </c>
      <c r="C52" s="19" t="s">
        <v>85</v>
      </c>
      <c r="D52" s="24"/>
      <c r="E52" s="20">
        <v>882</v>
      </c>
      <c r="F52" s="21" t="s">
        <v>2</v>
      </c>
      <c r="G52" s="19" t="s">
        <v>46</v>
      </c>
      <c r="H52" s="22" t="s">
        <v>19</v>
      </c>
    </row>
    <row r="53" spans="1:8" x14ac:dyDescent="0.25">
      <c r="A53" s="17">
        <v>42923</v>
      </c>
      <c r="B53" s="18" t="s">
        <v>125</v>
      </c>
      <c r="C53" s="19" t="s">
        <v>126</v>
      </c>
      <c r="D53" s="24"/>
      <c r="E53" s="20">
        <v>1861</v>
      </c>
      <c r="F53" s="21" t="s">
        <v>15</v>
      </c>
      <c r="G53" s="19" t="s">
        <v>94</v>
      </c>
      <c r="H53" s="22" t="s">
        <v>19</v>
      </c>
    </row>
    <row r="54" spans="1:8" x14ac:dyDescent="0.25">
      <c r="A54" s="17">
        <v>42941</v>
      </c>
      <c r="B54" s="18" t="s">
        <v>127</v>
      </c>
      <c r="C54" s="19" t="s">
        <v>85</v>
      </c>
      <c r="D54" s="24"/>
      <c r="E54" s="20">
        <v>451</v>
      </c>
      <c r="F54" s="21" t="s">
        <v>2</v>
      </c>
      <c r="G54" s="19" t="s">
        <v>24</v>
      </c>
      <c r="H54" s="22" t="s">
        <v>19</v>
      </c>
    </row>
    <row r="55" spans="1:8" ht="23" x14ac:dyDescent="0.25">
      <c r="A55" s="17">
        <v>42941</v>
      </c>
      <c r="B55" s="18" t="s">
        <v>128</v>
      </c>
      <c r="C55" s="19" t="s">
        <v>122</v>
      </c>
      <c r="D55" s="24"/>
      <c r="E55" s="20">
        <v>40</v>
      </c>
      <c r="F55" s="21" t="s">
        <v>3</v>
      </c>
      <c r="G55" s="19" t="s">
        <v>53</v>
      </c>
      <c r="H55" s="22" t="s">
        <v>19</v>
      </c>
    </row>
    <row r="56" spans="1:8" ht="23" x14ac:dyDescent="0.25">
      <c r="A56" s="17">
        <v>42942</v>
      </c>
      <c r="B56" s="18" t="s">
        <v>129</v>
      </c>
      <c r="C56" s="19" t="s">
        <v>130</v>
      </c>
      <c r="D56" s="24"/>
      <c r="E56" s="20">
        <v>60</v>
      </c>
      <c r="F56" s="21" t="s">
        <v>3</v>
      </c>
      <c r="G56" s="19" t="s">
        <v>53</v>
      </c>
      <c r="H56" s="22" t="s">
        <v>19</v>
      </c>
    </row>
    <row r="57" spans="1:8" x14ac:dyDescent="0.25">
      <c r="A57" s="17">
        <v>42948</v>
      </c>
      <c r="B57" s="18"/>
      <c r="C57" s="19" t="s">
        <v>42</v>
      </c>
      <c r="D57" s="24">
        <v>10000</v>
      </c>
      <c r="E57" s="20"/>
      <c r="F57" s="21" t="s">
        <v>18</v>
      </c>
      <c r="G57" s="19"/>
      <c r="H57" s="22" t="s">
        <v>20</v>
      </c>
    </row>
    <row r="58" spans="1:8" ht="23" x14ac:dyDescent="0.25">
      <c r="A58" s="17">
        <v>42951</v>
      </c>
      <c r="B58" s="18" t="s">
        <v>131</v>
      </c>
      <c r="C58" s="19" t="s">
        <v>132</v>
      </c>
      <c r="D58" s="24"/>
      <c r="E58" s="20">
        <v>40</v>
      </c>
      <c r="F58" s="21" t="s">
        <v>3</v>
      </c>
      <c r="G58" s="19" t="s">
        <v>53</v>
      </c>
      <c r="H58" s="22" t="s">
        <v>19</v>
      </c>
    </row>
    <row r="59" spans="1:8" x14ac:dyDescent="0.25">
      <c r="A59" s="17">
        <v>42956</v>
      </c>
      <c r="B59" s="18" t="s">
        <v>133</v>
      </c>
      <c r="C59" s="19" t="s">
        <v>85</v>
      </c>
      <c r="D59" s="24"/>
      <c r="E59" s="20">
        <v>250</v>
      </c>
      <c r="F59" s="21" t="s">
        <v>2</v>
      </c>
      <c r="G59" s="19" t="s">
        <v>24</v>
      </c>
      <c r="H59" s="22" t="s">
        <v>19</v>
      </c>
    </row>
    <row r="60" spans="1:8" x14ac:dyDescent="0.25">
      <c r="A60" s="17">
        <v>42957</v>
      </c>
      <c r="B60" s="18" t="s">
        <v>134</v>
      </c>
      <c r="C60" s="19" t="s">
        <v>135</v>
      </c>
      <c r="D60" s="24"/>
      <c r="E60" s="20">
        <v>2810</v>
      </c>
      <c r="F60" s="21" t="s">
        <v>15</v>
      </c>
      <c r="G60" s="19" t="s">
        <v>94</v>
      </c>
      <c r="H60" s="22" t="s">
        <v>19</v>
      </c>
    </row>
    <row r="61" spans="1:8" x14ac:dyDescent="0.25">
      <c r="A61" s="17">
        <v>42965</v>
      </c>
      <c r="B61" s="18" t="s">
        <v>136</v>
      </c>
      <c r="C61" s="19" t="s">
        <v>137</v>
      </c>
      <c r="D61" s="24"/>
      <c r="E61" s="20">
        <v>1020</v>
      </c>
      <c r="F61" s="21" t="s">
        <v>21</v>
      </c>
      <c r="G61" s="19" t="s">
        <v>65</v>
      </c>
      <c r="H61" s="22" t="s">
        <v>19</v>
      </c>
    </row>
    <row r="62" spans="1:8" x14ac:dyDescent="0.25">
      <c r="A62" s="17">
        <v>42965</v>
      </c>
      <c r="B62" s="18" t="s">
        <v>138</v>
      </c>
      <c r="C62" s="19" t="s">
        <v>139</v>
      </c>
      <c r="D62" s="24"/>
      <c r="E62" s="20">
        <v>900</v>
      </c>
      <c r="F62" s="21" t="s">
        <v>21</v>
      </c>
      <c r="G62" s="19" t="s">
        <v>65</v>
      </c>
      <c r="H62" s="22" t="s">
        <v>19</v>
      </c>
    </row>
    <row r="63" spans="1:8" x14ac:dyDescent="0.25">
      <c r="A63" s="17">
        <v>42965</v>
      </c>
      <c r="B63" s="18" t="s">
        <v>140</v>
      </c>
      <c r="C63" s="19" t="s">
        <v>141</v>
      </c>
      <c r="D63" s="24"/>
      <c r="E63" s="20">
        <v>1080</v>
      </c>
      <c r="F63" s="21" t="s">
        <v>21</v>
      </c>
      <c r="G63" s="19" t="s">
        <v>65</v>
      </c>
      <c r="H63" s="22" t="s">
        <v>19</v>
      </c>
    </row>
    <row r="64" spans="1:8" x14ac:dyDescent="0.25">
      <c r="A64" s="17">
        <v>42957</v>
      </c>
      <c r="B64" s="18" t="s">
        <v>142</v>
      </c>
      <c r="C64" s="19" t="s">
        <v>143</v>
      </c>
      <c r="D64" s="24"/>
      <c r="E64" s="20">
        <v>500</v>
      </c>
      <c r="F64" s="21" t="s">
        <v>15</v>
      </c>
      <c r="G64" s="19" t="s">
        <v>144</v>
      </c>
      <c r="H64" s="22" t="s">
        <v>19</v>
      </c>
    </row>
    <row r="65" spans="1:8" x14ac:dyDescent="0.25">
      <c r="A65" s="17">
        <v>42967</v>
      </c>
      <c r="B65" s="18" t="s">
        <v>145</v>
      </c>
      <c r="C65" s="19" t="s">
        <v>85</v>
      </c>
      <c r="D65" s="24"/>
      <c r="E65" s="20">
        <v>268</v>
      </c>
      <c r="F65" s="21" t="s">
        <v>2</v>
      </c>
      <c r="G65" s="19" t="s">
        <v>46</v>
      </c>
      <c r="H65" s="22" t="s">
        <v>19</v>
      </c>
    </row>
    <row r="66" spans="1:8" x14ac:dyDescent="0.25">
      <c r="A66" s="17">
        <v>42970</v>
      </c>
      <c r="B66" s="18" t="s">
        <v>146</v>
      </c>
      <c r="C66" s="19" t="s">
        <v>147</v>
      </c>
      <c r="D66" s="24"/>
      <c r="E66" s="20">
        <v>90</v>
      </c>
      <c r="F66" s="21" t="s">
        <v>2</v>
      </c>
      <c r="G66" s="19" t="s">
        <v>56</v>
      </c>
      <c r="H66" s="22" t="s">
        <v>19</v>
      </c>
    </row>
    <row r="67" spans="1:8" x14ac:dyDescent="0.25">
      <c r="A67" s="17">
        <v>42990</v>
      </c>
      <c r="B67" s="18" t="s">
        <v>148</v>
      </c>
      <c r="C67" s="19" t="s">
        <v>149</v>
      </c>
      <c r="D67" s="24"/>
      <c r="E67" s="20">
        <v>900</v>
      </c>
      <c r="F67" s="21" t="s">
        <v>21</v>
      </c>
      <c r="G67" s="19" t="s">
        <v>65</v>
      </c>
      <c r="H67" s="22" t="s">
        <v>19</v>
      </c>
    </row>
    <row r="68" spans="1:8" x14ac:dyDescent="0.25">
      <c r="A68" s="17">
        <v>42991</v>
      </c>
      <c r="B68" s="18"/>
      <c r="C68" s="19" t="s">
        <v>42</v>
      </c>
      <c r="D68" s="24">
        <v>12000</v>
      </c>
      <c r="E68" s="20"/>
      <c r="F68" s="21" t="s">
        <v>18</v>
      </c>
      <c r="G68" s="19"/>
      <c r="H68" s="22" t="s">
        <v>20</v>
      </c>
    </row>
    <row r="69" spans="1:8" x14ac:dyDescent="0.25">
      <c r="A69" s="17">
        <v>42993</v>
      </c>
      <c r="B69" s="18" t="s">
        <v>150</v>
      </c>
      <c r="C69" s="19" t="s">
        <v>151</v>
      </c>
      <c r="D69" s="24"/>
      <c r="E69" s="20">
        <v>380</v>
      </c>
      <c r="F69" s="21" t="s">
        <v>2</v>
      </c>
      <c r="G69" s="19" t="s">
        <v>152</v>
      </c>
      <c r="H69" s="22" t="s">
        <v>19</v>
      </c>
    </row>
    <row r="70" spans="1:8" x14ac:dyDescent="0.25">
      <c r="A70" s="17">
        <v>42972</v>
      </c>
      <c r="B70" s="18" t="s">
        <v>153</v>
      </c>
      <c r="C70" s="19" t="s">
        <v>154</v>
      </c>
      <c r="D70" s="24"/>
      <c r="E70" s="20">
        <v>820</v>
      </c>
      <c r="F70" s="21" t="s">
        <v>2</v>
      </c>
      <c r="G70" s="19" t="s">
        <v>152</v>
      </c>
      <c r="H70" s="22" t="s">
        <v>19</v>
      </c>
    </row>
    <row r="71" spans="1:8" x14ac:dyDescent="0.25">
      <c r="A71" s="17">
        <v>43001</v>
      </c>
      <c r="B71" s="18" t="s">
        <v>155</v>
      </c>
      <c r="C71" s="19" t="s">
        <v>85</v>
      </c>
      <c r="D71" s="24"/>
      <c r="E71" s="20">
        <v>777</v>
      </c>
      <c r="F71" s="21" t="s">
        <v>2</v>
      </c>
      <c r="G71" s="19" t="s">
        <v>46</v>
      </c>
      <c r="H71" s="22" t="s">
        <v>19</v>
      </c>
    </row>
    <row r="72" spans="1:8" x14ac:dyDescent="0.25">
      <c r="A72" s="17">
        <v>43002</v>
      </c>
      <c r="B72" s="18" t="s">
        <v>156</v>
      </c>
      <c r="C72" s="19" t="s">
        <v>157</v>
      </c>
      <c r="D72" s="24"/>
      <c r="E72" s="20">
        <v>676</v>
      </c>
      <c r="F72" s="21" t="s">
        <v>21</v>
      </c>
      <c r="G72" s="19" t="s">
        <v>158</v>
      </c>
      <c r="H72" s="22" t="s">
        <v>19</v>
      </c>
    </row>
    <row r="73" spans="1:8" ht="23" x14ac:dyDescent="0.25">
      <c r="A73" s="17">
        <v>43003</v>
      </c>
      <c r="B73" s="18" t="s">
        <v>159</v>
      </c>
      <c r="C73" s="19" t="s">
        <v>132</v>
      </c>
      <c r="D73" s="24"/>
      <c r="E73" s="20">
        <v>40</v>
      </c>
      <c r="F73" s="21" t="s">
        <v>3</v>
      </c>
      <c r="G73" s="19" t="s">
        <v>53</v>
      </c>
      <c r="H73" s="22" t="s">
        <v>19</v>
      </c>
    </row>
    <row r="74" spans="1:8" ht="23" x14ac:dyDescent="0.25">
      <c r="A74" s="17">
        <v>43011</v>
      </c>
      <c r="B74" s="18" t="s">
        <v>160</v>
      </c>
      <c r="C74" s="19" t="s">
        <v>161</v>
      </c>
      <c r="D74" s="24"/>
      <c r="E74" s="20">
        <v>80</v>
      </c>
      <c r="F74" s="21" t="s">
        <v>3</v>
      </c>
      <c r="G74" s="19" t="s">
        <v>53</v>
      </c>
      <c r="H74" s="22" t="s">
        <v>19</v>
      </c>
    </row>
    <row r="75" spans="1:8" x14ac:dyDescent="0.25">
      <c r="A75" s="17">
        <v>43013</v>
      </c>
      <c r="B75" s="18" t="s">
        <v>162</v>
      </c>
      <c r="C75" s="19" t="s">
        <v>163</v>
      </c>
      <c r="D75" s="24"/>
      <c r="E75" s="20">
        <v>1102</v>
      </c>
      <c r="F75" s="21" t="s">
        <v>15</v>
      </c>
      <c r="G75" s="19" t="s">
        <v>164</v>
      </c>
      <c r="H75" s="22" t="s">
        <v>19</v>
      </c>
    </row>
    <row r="76" spans="1:8" x14ac:dyDescent="0.25">
      <c r="A76" s="17">
        <v>43014</v>
      </c>
      <c r="B76" s="18" t="s">
        <v>165</v>
      </c>
      <c r="C76" s="19" t="s">
        <v>166</v>
      </c>
      <c r="D76" s="24"/>
      <c r="E76" s="20">
        <v>780</v>
      </c>
      <c r="F76" s="21" t="s">
        <v>21</v>
      </c>
      <c r="G76" s="19" t="s">
        <v>65</v>
      </c>
      <c r="H76" s="22" t="s">
        <v>19</v>
      </c>
    </row>
    <row r="77" spans="1:8" x14ac:dyDescent="0.25">
      <c r="A77" s="17">
        <v>43015</v>
      </c>
      <c r="B77" s="18" t="s">
        <v>167</v>
      </c>
      <c r="C77" s="19" t="s">
        <v>85</v>
      </c>
      <c r="D77" s="24"/>
      <c r="E77" s="20">
        <v>741</v>
      </c>
      <c r="F77" s="21" t="s">
        <v>2</v>
      </c>
      <c r="G77" s="19" t="s">
        <v>46</v>
      </c>
      <c r="H77" s="22" t="s">
        <v>19</v>
      </c>
    </row>
    <row r="78" spans="1:8" ht="23" x14ac:dyDescent="0.25">
      <c r="A78" s="17">
        <v>43028</v>
      </c>
      <c r="B78" s="18" t="s">
        <v>168</v>
      </c>
      <c r="C78" s="19" t="s">
        <v>132</v>
      </c>
      <c r="D78" s="24"/>
      <c r="E78" s="20">
        <v>40</v>
      </c>
      <c r="F78" s="21" t="s">
        <v>3</v>
      </c>
      <c r="G78" s="19" t="s">
        <v>53</v>
      </c>
      <c r="H78" s="22" t="s">
        <v>19</v>
      </c>
    </row>
    <row r="79" spans="1:8" x14ac:dyDescent="0.25">
      <c r="A79" s="17">
        <v>43038</v>
      </c>
      <c r="B79" s="18" t="s">
        <v>169</v>
      </c>
      <c r="C79" s="19" t="s">
        <v>170</v>
      </c>
      <c r="D79" s="24"/>
      <c r="E79" s="20">
        <f>999+295</f>
        <v>1294</v>
      </c>
      <c r="F79" s="21" t="s">
        <v>21</v>
      </c>
      <c r="G79" s="19" t="s">
        <v>171</v>
      </c>
      <c r="H79" s="22" t="s">
        <v>19</v>
      </c>
    </row>
    <row r="80" spans="1:8" x14ac:dyDescent="0.25">
      <c r="A80" s="17">
        <v>43038</v>
      </c>
      <c r="B80" s="18" t="s">
        <v>172</v>
      </c>
      <c r="C80" s="19" t="s">
        <v>173</v>
      </c>
      <c r="D80" s="24"/>
      <c r="E80" s="20">
        <v>750</v>
      </c>
      <c r="F80" s="21" t="s">
        <v>6</v>
      </c>
      <c r="G80" s="19" t="s">
        <v>174</v>
      </c>
      <c r="H80" s="22" t="s">
        <v>19</v>
      </c>
    </row>
    <row r="81" spans="1:8" x14ac:dyDescent="0.25">
      <c r="A81" s="17">
        <v>43039</v>
      </c>
      <c r="B81" s="18" t="s">
        <v>175</v>
      </c>
      <c r="C81" s="19" t="s">
        <v>85</v>
      </c>
      <c r="D81" s="24"/>
      <c r="E81" s="20">
        <v>610</v>
      </c>
      <c r="F81" s="21" t="s">
        <v>2</v>
      </c>
      <c r="G81" s="19" t="s">
        <v>46</v>
      </c>
      <c r="H81" s="22" t="s">
        <v>19</v>
      </c>
    </row>
    <row r="82" spans="1:8" x14ac:dyDescent="0.25">
      <c r="A82" s="17">
        <v>43039</v>
      </c>
      <c r="B82" s="18" t="s">
        <v>176</v>
      </c>
      <c r="C82" s="19" t="s">
        <v>85</v>
      </c>
      <c r="D82" s="24"/>
      <c r="E82" s="20">
        <f>159+314</f>
        <v>473</v>
      </c>
      <c r="F82" s="21" t="s">
        <v>2</v>
      </c>
      <c r="G82" s="19" t="s">
        <v>24</v>
      </c>
      <c r="H82" s="22" t="s">
        <v>19</v>
      </c>
    </row>
    <row r="83" spans="1:8" x14ac:dyDescent="0.25">
      <c r="A83" s="17">
        <v>43040</v>
      </c>
      <c r="B83" s="18" t="s">
        <v>177</v>
      </c>
      <c r="C83" s="19" t="s">
        <v>178</v>
      </c>
      <c r="D83" s="24"/>
      <c r="E83" s="20">
        <v>460</v>
      </c>
      <c r="F83" s="21" t="s">
        <v>3</v>
      </c>
      <c r="G83" s="19" t="s">
        <v>179</v>
      </c>
      <c r="H83" s="22" t="s">
        <v>19</v>
      </c>
    </row>
    <row r="84" spans="1:8" x14ac:dyDescent="0.25">
      <c r="A84" s="17">
        <v>43040</v>
      </c>
      <c r="B84" s="18" t="s">
        <v>180</v>
      </c>
      <c r="C84" s="19" t="s">
        <v>181</v>
      </c>
      <c r="D84" s="24"/>
      <c r="E84" s="20">
        <v>1926</v>
      </c>
      <c r="F84" s="21" t="s">
        <v>6</v>
      </c>
      <c r="G84" s="19" t="s">
        <v>182</v>
      </c>
      <c r="H84" s="22" t="s">
        <v>19</v>
      </c>
    </row>
    <row r="85" spans="1:8" x14ac:dyDescent="0.25">
      <c r="A85" s="17">
        <v>43043</v>
      </c>
      <c r="B85" s="31"/>
      <c r="C85" s="19" t="s">
        <v>42</v>
      </c>
      <c r="D85" s="24">
        <v>10000</v>
      </c>
      <c r="E85" s="20"/>
      <c r="F85" s="21" t="s">
        <v>18</v>
      </c>
      <c r="G85" s="19"/>
      <c r="H85" s="22" t="s">
        <v>20</v>
      </c>
    </row>
    <row r="86" spans="1:8" ht="23" x14ac:dyDescent="0.25">
      <c r="A86" s="17">
        <v>43043</v>
      </c>
      <c r="B86" s="18" t="s">
        <v>183</v>
      </c>
      <c r="C86" s="19" t="s">
        <v>184</v>
      </c>
      <c r="D86" s="24"/>
      <c r="E86" s="20">
        <v>835</v>
      </c>
      <c r="F86" s="21" t="s">
        <v>2</v>
      </c>
      <c r="G86" s="19" t="s">
        <v>152</v>
      </c>
      <c r="H86" s="22" t="s">
        <v>19</v>
      </c>
    </row>
    <row r="87" spans="1:8" x14ac:dyDescent="0.25">
      <c r="A87" s="17">
        <v>43045</v>
      </c>
      <c r="B87" s="18" t="s">
        <v>185</v>
      </c>
      <c r="C87" s="19" t="s">
        <v>75</v>
      </c>
      <c r="D87" s="24"/>
      <c r="E87" s="20">
        <v>200</v>
      </c>
      <c r="F87" s="21" t="s">
        <v>2</v>
      </c>
      <c r="G87" s="19" t="s">
        <v>76</v>
      </c>
      <c r="H87" s="22" t="s">
        <v>19</v>
      </c>
    </row>
    <row r="88" spans="1:8" x14ac:dyDescent="0.25">
      <c r="A88" s="17">
        <v>43049</v>
      </c>
      <c r="B88" s="18" t="s">
        <v>186</v>
      </c>
      <c r="C88" s="19" t="s">
        <v>187</v>
      </c>
      <c r="D88" s="24"/>
      <c r="E88" s="20">
        <v>480</v>
      </c>
      <c r="F88" s="21" t="s">
        <v>21</v>
      </c>
      <c r="G88" s="19" t="s">
        <v>65</v>
      </c>
      <c r="H88" s="22" t="s">
        <v>19</v>
      </c>
    </row>
    <row r="89" spans="1:8" ht="23" x14ac:dyDescent="0.25">
      <c r="A89" s="17">
        <v>43053</v>
      </c>
      <c r="B89" s="18" t="s">
        <v>188</v>
      </c>
      <c r="C89" s="19" t="s">
        <v>189</v>
      </c>
      <c r="D89" s="24"/>
      <c r="E89" s="20">
        <v>40</v>
      </c>
      <c r="F89" s="21" t="s">
        <v>3</v>
      </c>
      <c r="G89" s="19" t="s">
        <v>53</v>
      </c>
      <c r="H89" s="22" t="s">
        <v>19</v>
      </c>
    </row>
    <row r="90" spans="1:8" x14ac:dyDescent="0.25">
      <c r="A90" s="17">
        <v>43060</v>
      </c>
      <c r="B90" s="18" t="s">
        <v>190</v>
      </c>
      <c r="C90" s="19" t="s">
        <v>191</v>
      </c>
      <c r="D90" s="24"/>
      <c r="E90" s="20">
        <v>188</v>
      </c>
      <c r="F90" s="21" t="s">
        <v>2</v>
      </c>
      <c r="G90" s="19" t="s">
        <v>152</v>
      </c>
      <c r="H90" s="22" t="s">
        <v>19</v>
      </c>
    </row>
    <row r="91" spans="1:8" x14ac:dyDescent="0.25">
      <c r="A91" s="17">
        <v>43067</v>
      </c>
      <c r="B91" s="18" t="s">
        <v>192</v>
      </c>
      <c r="C91" s="19" t="s">
        <v>85</v>
      </c>
      <c r="D91" s="24"/>
      <c r="E91" s="20">
        <v>679</v>
      </c>
      <c r="F91" s="21" t="s">
        <v>2</v>
      </c>
      <c r="G91" s="19" t="s">
        <v>24</v>
      </c>
      <c r="H91" s="22" t="s">
        <v>19</v>
      </c>
    </row>
    <row r="92" spans="1:8" x14ac:dyDescent="0.25">
      <c r="A92" s="17">
        <v>43067</v>
      </c>
      <c r="B92" s="18" t="s">
        <v>193</v>
      </c>
      <c r="C92" s="19" t="s">
        <v>194</v>
      </c>
      <c r="D92" s="24"/>
      <c r="E92" s="20">
        <v>106</v>
      </c>
      <c r="F92" s="21" t="s">
        <v>2</v>
      </c>
      <c r="G92" s="19" t="s">
        <v>56</v>
      </c>
      <c r="H92" s="22" t="s">
        <v>19</v>
      </c>
    </row>
    <row r="93" spans="1:8" x14ac:dyDescent="0.25">
      <c r="A93" s="17">
        <v>43073</v>
      </c>
      <c r="B93" s="18" t="s">
        <v>195</v>
      </c>
      <c r="C93" s="19" t="s">
        <v>85</v>
      </c>
      <c r="D93" s="24"/>
      <c r="E93" s="20">
        <v>300</v>
      </c>
      <c r="F93" s="21" t="s">
        <v>2</v>
      </c>
      <c r="G93" s="19" t="s">
        <v>196</v>
      </c>
      <c r="H93" s="22" t="s">
        <v>19</v>
      </c>
    </row>
    <row r="94" spans="1:8" x14ac:dyDescent="0.25">
      <c r="A94" s="17">
        <v>43072</v>
      </c>
      <c r="B94" s="18" t="s">
        <v>197</v>
      </c>
      <c r="C94" s="19" t="s">
        <v>85</v>
      </c>
      <c r="D94" s="24"/>
      <c r="E94" s="20">
        <v>332</v>
      </c>
      <c r="F94" s="21" t="s">
        <v>2</v>
      </c>
      <c r="G94" s="19" t="s">
        <v>198</v>
      </c>
      <c r="H94" s="22" t="s">
        <v>19</v>
      </c>
    </row>
    <row r="95" spans="1:8" x14ac:dyDescent="0.25">
      <c r="A95" s="17">
        <v>43072</v>
      </c>
      <c r="B95" s="18" t="s">
        <v>199</v>
      </c>
      <c r="C95" s="19" t="s">
        <v>85</v>
      </c>
      <c r="D95" s="24"/>
      <c r="E95" s="20">
        <v>730</v>
      </c>
      <c r="F95" s="21" t="s">
        <v>2</v>
      </c>
      <c r="G95" s="19" t="s">
        <v>46</v>
      </c>
      <c r="H95" s="22" t="s">
        <v>19</v>
      </c>
    </row>
    <row r="96" spans="1:8" x14ac:dyDescent="0.25">
      <c r="A96" s="17">
        <v>43080</v>
      </c>
      <c r="B96" s="18" t="s">
        <v>200</v>
      </c>
      <c r="C96" s="19" t="s">
        <v>201</v>
      </c>
      <c r="D96" s="24"/>
      <c r="E96" s="20">
        <v>360</v>
      </c>
      <c r="F96" s="21" t="s">
        <v>21</v>
      </c>
      <c r="G96" s="19" t="s">
        <v>65</v>
      </c>
      <c r="H96" s="22" t="s">
        <v>19</v>
      </c>
    </row>
    <row r="97" spans="1:8" ht="23" x14ac:dyDescent="0.25">
      <c r="A97" s="17">
        <v>43087</v>
      </c>
      <c r="B97" s="18" t="s">
        <v>202</v>
      </c>
      <c r="C97" s="19" t="s">
        <v>203</v>
      </c>
      <c r="D97" s="24"/>
      <c r="E97" s="20">
        <v>40</v>
      </c>
      <c r="F97" s="21" t="s">
        <v>3</v>
      </c>
      <c r="G97" s="19" t="s">
        <v>53</v>
      </c>
      <c r="H97" s="22" t="s">
        <v>19</v>
      </c>
    </row>
    <row r="98" spans="1:8" x14ac:dyDescent="0.25">
      <c r="A98" s="17">
        <v>43090</v>
      </c>
      <c r="B98" s="18" t="s">
        <v>204</v>
      </c>
      <c r="C98" s="19" t="s">
        <v>205</v>
      </c>
      <c r="D98" s="24"/>
      <c r="E98" s="20">
        <v>106</v>
      </c>
      <c r="F98" s="21" t="s">
        <v>2</v>
      </c>
      <c r="G98" s="19" t="s">
        <v>56</v>
      </c>
      <c r="H98" s="22" t="s">
        <v>19</v>
      </c>
    </row>
    <row r="99" spans="1:8" x14ac:dyDescent="0.25">
      <c r="A99" s="17">
        <v>43090</v>
      </c>
      <c r="B99" s="18" t="s">
        <v>206</v>
      </c>
      <c r="C99" s="19" t="s">
        <v>207</v>
      </c>
      <c r="D99" s="24"/>
      <c r="E99" s="20">
        <v>5115</v>
      </c>
      <c r="F99" s="21" t="s">
        <v>21</v>
      </c>
      <c r="G99" s="19" t="s">
        <v>208</v>
      </c>
      <c r="H99" s="22" t="s">
        <v>19</v>
      </c>
    </row>
    <row r="100" spans="1:8" x14ac:dyDescent="0.25">
      <c r="A100" s="17">
        <v>43101</v>
      </c>
      <c r="B100" s="18"/>
      <c r="C100" s="19" t="s">
        <v>42</v>
      </c>
      <c r="D100" s="24">
        <v>5000</v>
      </c>
      <c r="E100" s="20"/>
      <c r="F100" s="21" t="s">
        <v>18</v>
      </c>
      <c r="G100" s="19"/>
      <c r="H100" s="22" t="s">
        <v>20</v>
      </c>
    </row>
    <row r="101" spans="1:8" x14ac:dyDescent="0.25">
      <c r="A101" s="17">
        <v>43102</v>
      </c>
      <c r="B101" s="18" t="s">
        <v>209</v>
      </c>
      <c r="C101" s="19" t="s">
        <v>85</v>
      </c>
      <c r="D101" s="24"/>
      <c r="E101" s="20">
        <v>378</v>
      </c>
      <c r="F101" s="21" t="s">
        <v>2</v>
      </c>
      <c r="G101" s="19" t="s">
        <v>210</v>
      </c>
      <c r="H101" s="22" t="s">
        <v>19</v>
      </c>
    </row>
    <row r="102" spans="1:8" x14ac:dyDescent="0.25">
      <c r="A102" s="17">
        <v>43104</v>
      </c>
      <c r="B102" s="18" t="s">
        <v>211</v>
      </c>
      <c r="C102" s="19" t="s">
        <v>212</v>
      </c>
      <c r="D102" s="24"/>
      <c r="E102" s="20">
        <v>480</v>
      </c>
      <c r="F102" s="21" t="s">
        <v>21</v>
      </c>
      <c r="G102" s="19" t="s">
        <v>65</v>
      </c>
      <c r="H102" s="22" t="s">
        <v>19</v>
      </c>
    </row>
    <row r="103" spans="1:8" ht="23" x14ac:dyDescent="0.25">
      <c r="A103" s="17">
        <v>43104</v>
      </c>
      <c r="B103" s="18" t="s">
        <v>213</v>
      </c>
      <c r="C103" s="19" t="s">
        <v>214</v>
      </c>
      <c r="D103" s="24"/>
      <c r="E103" s="20">
        <v>600</v>
      </c>
      <c r="F103" s="21" t="s">
        <v>3</v>
      </c>
      <c r="G103" s="19" t="s">
        <v>53</v>
      </c>
      <c r="H103" s="22" t="s">
        <v>19</v>
      </c>
    </row>
    <row r="104" spans="1:8" x14ac:dyDescent="0.25">
      <c r="A104" s="17">
        <v>43108</v>
      </c>
      <c r="B104" s="18" t="s">
        <v>215</v>
      </c>
      <c r="C104" s="19" t="s">
        <v>85</v>
      </c>
      <c r="D104" s="24"/>
      <c r="E104" s="20">
        <v>1508</v>
      </c>
      <c r="F104" s="21" t="s">
        <v>21</v>
      </c>
      <c r="G104" s="19" t="s">
        <v>46</v>
      </c>
      <c r="H104" s="22" t="s">
        <v>19</v>
      </c>
    </row>
    <row r="105" spans="1:8" x14ac:dyDescent="0.25">
      <c r="A105" s="17">
        <v>43113</v>
      </c>
      <c r="B105" s="18" t="s">
        <v>216</v>
      </c>
      <c r="C105" s="19" t="s">
        <v>217</v>
      </c>
      <c r="D105" s="24"/>
      <c r="E105" s="20">
        <f>425+212</f>
        <v>637</v>
      </c>
      <c r="F105" s="21" t="s">
        <v>2</v>
      </c>
      <c r="G105" s="19" t="s">
        <v>56</v>
      </c>
      <c r="H105" s="22" t="s">
        <v>19</v>
      </c>
    </row>
    <row r="106" spans="1:8" x14ac:dyDescent="0.25">
      <c r="A106" s="17">
        <v>43114</v>
      </c>
      <c r="B106" s="18" t="s">
        <v>218</v>
      </c>
      <c r="C106" s="19" t="s">
        <v>219</v>
      </c>
      <c r="D106" s="24"/>
      <c r="E106" s="20">
        <v>439.68</v>
      </c>
      <c r="F106" s="21" t="s">
        <v>21</v>
      </c>
      <c r="G106" s="19" t="s">
        <v>46</v>
      </c>
      <c r="H106" s="22" t="s">
        <v>19</v>
      </c>
    </row>
    <row r="107" spans="1:8" x14ac:dyDescent="0.25">
      <c r="A107" s="17">
        <v>43118</v>
      </c>
      <c r="B107" s="18" t="s">
        <v>220</v>
      </c>
      <c r="C107" s="19" t="s">
        <v>221</v>
      </c>
      <c r="D107" s="24"/>
      <c r="E107" s="20">
        <v>2588</v>
      </c>
      <c r="F107" s="21" t="s">
        <v>21</v>
      </c>
      <c r="G107" s="19" t="s">
        <v>171</v>
      </c>
      <c r="H107" s="22" t="s">
        <v>19</v>
      </c>
    </row>
    <row r="108" spans="1:8" x14ac:dyDescent="0.25">
      <c r="A108" s="17">
        <v>43119</v>
      </c>
      <c r="B108" s="18" t="s">
        <v>222</v>
      </c>
      <c r="C108" s="19" t="s">
        <v>223</v>
      </c>
      <c r="D108" s="24"/>
      <c r="E108" s="20">
        <v>2185</v>
      </c>
      <c r="F108" s="21" t="s">
        <v>224</v>
      </c>
      <c r="G108" s="19" t="s">
        <v>225</v>
      </c>
      <c r="H108" s="22" t="s">
        <v>19</v>
      </c>
    </row>
    <row r="109" spans="1:8" x14ac:dyDescent="0.25">
      <c r="A109" s="17">
        <v>43123</v>
      </c>
      <c r="B109" s="18" t="s">
        <v>226</v>
      </c>
      <c r="C109" s="19" t="s">
        <v>227</v>
      </c>
      <c r="D109" s="24"/>
      <c r="E109" s="20">
        <v>297</v>
      </c>
      <c r="F109" s="21" t="s">
        <v>21</v>
      </c>
      <c r="G109" s="19" t="s">
        <v>171</v>
      </c>
      <c r="H109" s="22" t="s">
        <v>19</v>
      </c>
    </row>
    <row r="110" spans="1:8" x14ac:dyDescent="0.25">
      <c r="A110" s="17">
        <v>43123</v>
      </c>
      <c r="B110" s="18"/>
      <c r="C110" s="19" t="s">
        <v>42</v>
      </c>
      <c r="D110" s="24">
        <v>10000</v>
      </c>
      <c r="E110" s="20"/>
      <c r="F110" s="21" t="s">
        <v>18</v>
      </c>
      <c r="G110" s="19"/>
      <c r="H110" s="22" t="s">
        <v>20</v>
      </c>
    </row>
    <row r="111" spans="1:8" x14ac:dyDescent="0.25">
      <c r="A111" s="17">
        <v>43130</v>
      </c>
      <c r="B111" s="18" t="s">
        <v>228</v>
      </c>
      <c r="C111" s="19" t="s">
        <v>229</v>
      </c>
      <c r="D111" s="24"/>
      <c r="E111" s="20">
        <v>420</v>
      </c>
      <c r="F111" s="21" t="s">
        <v>224</v>
      </c>
      <c r="G111" s="19" t="s">
        <v>230</v>
      </c>
      <c r="H111" s="22" t="s">
        <v>19</v>
      </c>
    </row>
    <row r="112" spans="1:8" x14ac:dyDescent="0.25">
      <c r="A112" s="17">
        <v>43131</v>
      </c>
      <c r="B112" s="18" t="s">
        <v>231</v>
      </c>
      <c r="C112" s="19" t="s">
        <v>232</v>
      </c>
      <c r="D112" s="24"/>
      <c r="E112" s="20">
        <v>250</v>
      </c>
      <c r="F112" s="21" t="s">
        <v>21</v>
      </c>
      <c r="G112" s="19" t="s">
        <v>233</v>
      </c>
      <c r="H112" s="22" t="s">
        <v>19</v>
      </c>
    </row>
    <row r="113" spans="1:8" x14ac:dyDescent="0.25">
      <c r="A113" s="17">
        <v>43133</v>
      </c>
      <c r="B113" s="18" t="s">
        <v>234</v>
      </c>
      <c r="C113" s="19" t="s">
        <v>235</v>
      </c>
      <c r="D113" s="24"/>
      <c r="E113" s="20">
        <v>480</v>
      </c>
      <c r="F113" s="21" t="s">
        <v>21</v>
      </c>
      <c r="G113" s="19" t="s">
        <v>65</v>
      </c>
      <c r="H113" s="22" t="s">
        <v>19</v>
      </c>
    </row>
    <row r="114" spans="1:8" ht="23" x14ac:dyDescent="0.25">
      <c r="A114" s="17">
        <v>43144</v>
      </c>
      <c r="B114" s="18" t="s">
        <v>236</v>
      </c>
      <c r="C114" s="19" t="s">
        <v>237</v>
      </c>
      <c r="D114" s="24"/>
      <c r="E114" s="20">
        <v>70</v>
      </c>
      <c r="F114" s="21" t="s">
        <v>3</v>
      </c>
      <c r="G114" s="19" t="s">
        <v>53</v>
      </c>
      <c r="H114" s="22" t="s">
        <v>19</v>
      </c>
    </row>
    <row r="115" spans="1:8" x14ac:dyDescent="0.25">
      <c r="A115" s="17">
        <v>43145</v>
      </c>
      <c r="B115" s="18" t="s">
        <v>238</v>
      </c>
      <c r="C115" s="19" t="s">
        <v>239</v>
      </c>
      <c r="D115" s="24"/>
      <c r="E115" s="20">
        <v>531</v>
      </c>
      <c r="F115" s="21" t="s">
        <v>2</v>
      </c>
      <c r="G115" s="19" t="s">
        <v>56</v>
      </c>
      <c r="H115" s="22" t="s">
        <v>19</v>
      </c>
    </row>
    <row r="116" spans="1:8" x14ac:dyDescent="0.25">
      <c r="A116" s="17">
        <v>43145</v>
      </c>
      <c r="B116" s="18" t="s">
        <v>240</v>
      </c>
      <c r="C116" s="19" t="s">
        <v>85</v>
      </c>
      <c r="D116" s="24"/>
      <c r="E116" s="20">
        <v>288</v>
      </c>
      <c r="F116" s="21" t="s">
        <v>2</v>
      </c>
      <c r="G116" s="19" t="s">
        <v>46</v>
      </c>
      <c r="H116" s="22" t="s">
        <v>19</v>
      </c>
    </row>
    <row r="117" spans="1:8" x14ac:dyDescent="0.25">
      <c r="A117" s="17">
        <v>43145</v>
      </c>
      <c r="B117" s="18" t="s">
        <v>241</v>
      </c>
      <c r="C117" s="19" t="s">
        <v>85</v>
      </c>
      <c r="D117" s="24"/>
      <c r="E117" s="20">
        <v>858</v>
      </c>
      <c r="F117" s="21" t="s">
        <v>2</v>
      </c>
      <c r="G117" s="19" t="s">
        <v>24</v>
      </c>
      <c r="H117" s="22" t="s">
        <v>19</v>
      </c>
    </row>
    <row r="118" spans="1:8" x14ac:dyDescent="0.25">
      <c r="A118" s="17">
        <v>43157</v>
      </c>
      <c r="B118" s="18" t="s">
        <v>242</v>
      </c>
      <c r="C118" s="19" t="s">
        <v>243</v>
      </c>
      <c r="D118" s="24"/>
      <c r="E118" s="20">
        <v>50</v>
      </c>
      <c r="F118" s="21" t="s">
        <v>21</v>
      </c>
      <c r="G118" s="19" t="s">
        <v>244</v>
      </c>
      <c r="H118" s="22" t="s">
        <v>19</v>
      </c>
    </row>
    <row r="119" spans="1:8" x14ac:dyDescent="0.25">
      <c r="A119" s="17">
        <v>43157</v>
      </c>
      <c r="B119" s="18" t="s">
        <v>245</v>
      </c>
      <c r="C119" s="19" t="s">
        <v>246</v>
      </c>
      <c r="D119" s="24"/>
      <c r="E119" s="20">
        <v>750</v>
      </c>
      <c r="F119" s="21" t="s">
        <v>21</v>
      </c>
      <c r="G119" s="19" t="s">
        <v>244</v>
      </c>
      <c r="H119" s="22" t="s">
        <v>19</v>
      </c>
    </row>
    <row r="120" spans="1:8" x14ac:dyDescent="0.25">
      <c r="A120" s="17">
        <v>43167</v>
      </c>
      <c r="B120" s="18" t="s">
        <v>247</v>
      </c>
      <c r="C120" s="19" t="s">
        <v>85</v>
      </c>
      <c r="D120" s="24"/>
      <c r="E120" s="20">
        <v>535</v>
      </c>
      <c r="F120" s="21" t="s">
        <v>2</v>
      </c>
      <c r="G120" s="19" t="s">
        <v>248</v>
      </c>
      <c r="H120" s="22" t="s">
        <v>19</v>
      </c>
    </row>
    <row r="121" spans="1:8" x14ac:dyDescent="0.25">
      <c r="A121" s="17">
        <v>43167</v>
      </c>
      <c r="B121" s="18" t="s">
        <v>249</v>
      </c>
      <c r="C121" s="19" t="s">
        <v>239</v>
      </c>
      <c r="D121" s="24"/>
      <c r="E121" s="20">
        <v>106</v>
      </c>
      <c r="F121" s="21" t="s">
        <v>2</v>
      </c>
      <c r="G121" s="19" t="s">
        <v>56</v>
      </c>
      <c r="H121" s="22" t="s">
        <v>19</v>
      </c>
    </row>
    <row r="122" spans="1:8" ht="23" x14ac:dyDescent="0.25">
      <c r="A122" s="17">
        <v>43167</v>
      </c>
      <c r="B122" s="18" t="s">
        <v>250</v>
      </c>
      <c r="C122" s="19" t="s">
        <v>251</v>
      </c>
      <c r="D122" s="24"/>
      <c r="E122" s="20">
        <v>992</v>
      </c>
      <c r="F122" s="21" t="s">
        <v>2</v>
      </c>
      <c r="G122" s="19" t="s">
        <v>252</v>
      </c>
      <c r="H122" s="22" t="s">
        <v>19</v>
      </c>
    </row>
    <row r="123" spans="1:8" x14ac:dyDescent="0.25">
      <c r="A123" s="17">
        <v>43167</v>
      </c>
      <c r="B123" s="18" t="s">
        <v>253</v>
      </c>
      <c r="C123" s="19" t="s">
        <v>254</v>
      </c>
      <c r="D123" s="24"/>
      <c r="E123" s="20">
        <v>250</v>
      </c>
      <c r="F123" s="21" t="s">
        <v>21</v>
      </c>
      <c r="G123" s="19" t="s">
        <v>255</v>
      </c>
      <c r="H123" s="22" t="s">
        <v>19</v>
      </c>
    </row>
    <row r="124" spans="1:8" ht="23" x14ac:dyDescent="0.25">
      <c r="A124" s="17">
        <v>43171</v>
      </c>
      <c r="B124" s="18" t="s">
        <v>256</v>
      </c>
      <c r="C124" s="19" t="s">
        <v>257</v>
      </c>
      <c r="D124" s="24"/>
      <c r="E124" s="20">
        <v>1349</v>
      </c>
      <c r="F124" s="21" t="s">
        <v>21</v>
      </c>
      <c r="G124" s="19" t="s">
        <v>258</v>
      </c>
      <c r="H124" s="22" t="s">
        <v>19</v>
      </c>
    </row>
    <row r="125" spans="1:8" x14ac:dyDescent="0.25">
      <c r="A125" s="17">
        <v>43171</v>
      </c>
      <c r="B125" s="18" t="s">
        <v>259</v>
      </c>
      <c r="C125" s="19" t="s">
        <v>260</v>
      </c>
      <c r="D125" s="24"/>
      <c r="E125" s="20">
        <v>1000</v>
      </c>
      <c r="F125" s="21" t="s">
        <v>2</v>
      </c>
      <c r="G125" s="19" t="s">
        <v>56</v>
      </c>
      <c r="H125" s="22" t="s">
        <v>19</v>
      </c>
    </row>
    <row r="126" spans="1:8" x14ac:dyDescent="0.25">
      <c r="A126" s="17">
        <v>43171</v>
      </c>
      <c r="B126" s="18" t="s">
        <v>261</v>
      </c>
      <c r="C126" s="19" t="s">
        <v>262</v>
      </c>
      <c r="D126" s="24"/>
      <c r="E126" s="20">
        <v>600</v>
      </c>
      <c r="F126" s="21" t="s">
        <v>21</v>
      </c>
      <c r="G126" s="19" t="s">
        <v>65</v>
      </c>
      <c r="H126" s="22" t="s">
        <v>19</v>
      </c>
    </row>
    <row r="127" spans="1:8" x14ac:dyDescent="0.25">
      <c r="A127" s="17">
        <v>43173</v>
      </c>
      <c r="B127" s="18" t="s">
        <v>263</v>
      </c>
      <c r="C127" s="19" t="s">
        <v>264</v>
      </c>
      <c r="D127" s="24"/>
      <c r="E127" s="20">
        <v>1412</v>
      </c>
      <c r="F127" s="21" t="s">
        <v>15</v>
      </c>
      <c r="G127" s="19" t="s">
        <v>265</v>
      </c>
      <c r="H127" s="22" t="s">
        <v>19</v>
      </c>
    </row>
    <row r="128" spans="1:8" x14ac:dyDescent="0.25">
      <c r="A128" s="17">
        <v>43174</v>
      </c>
      <c r="B128" s="18"/>
      <c r="C128" s="19" t="s">
        <v>42</v>
      </c>
      <c r="D128" s="24">
        <v>10000</v>
      </c>
      <c r="E128" s="20"/>
      <c r="F128" s="21" t="s">
        <v>18</v>
      </c>
      <c r="G128" s="19"/>
      <c r="H128" s="22" t="s">
        <v>20</v>
      </c>
    </row>
    <row r="129" spans="1:8" x14ac:dyDescent="0.25">
      <c r="A129" s="17">
        <v>43175</v>
      </c>
      <c r="B129" s="18" t="s">
        <v>266</v>
      </c>
      <c r="C129" s="19" t="s">
        <v>267</v>
      </c>
      <c r="D129" s="24"/>
      <c r="E129" s="20">
        <v>382</v>
      </c>
      <c r="F129" s="21" t="s">
        <v>268</v>
      </c>
      <c r="G129" s="19" t="s">
        <v>269</v>
      </c>
      <c r="H129" s="22" t="s">
        <v>19</v>
      </c>
    </row>
    <row r="130" spans="1:8" x14ac:dyDescent="0.25">
      <c r="A130" s="17">
        <v>43175</v>
      </c>
      <c r="B130" s="18" t="s">
        <v>270</v>
      </c>
      <c r="C130" s="19" t="s">
        <v>239</v>
      </c>
      <c r="D130" s="24"/>
      <c r="E130" s="20">
        <v>425</v>
      </c>
      <c r="F130" s="21" t="s">
        <v>2</v>
      </c>
      <c r="G130" s="19" t="s">
        <v>56</v>
      </c>
      <c r="H130" s="22" t="s">
        <v>19</v>
      </c>
    </row>
    <row r="131" spans="1:8" x14ac:dyDescent="0.25">
      <c r="A131" s="17">
        <v>43178</v>
      </c>
      <c r="B131" s="18" t="s">
        <v>271</v>
      </c>
      <c r="C131" s="19" t="s">
        <v>267</v>
      </c>
      <c r="D131" s="24"/>
      <c r="E131" s="20">
        <v>420</v>
      </c>
      <c r="F131" s="21" t="s">
        <v>268</v>
      </c>
      <c r="G131" s="19" t="s">
        <v>269</v>
      </c>
      <c r="H131" s="22" t="s">
        <v>19</v>
      </c>
    </row>
    <row r="132" spans="1:8" x14ac:dyDescent="0.25">
      <c r="A132" s="17">
        <v>43179</v>
      </c>
      <c r="B132" s="18" t="s">
        <v>272</v>
      </c>
      <c r="C132" s="19" t="s">
        <v>273</v>
      </c>
      <c r="D132" s="24"/>
      <c r="E132" s="20">
        <v>50</v>
      </c>
      <c r="F132" s="21" t="s">
        <v>21</v>
      </c>
      <c r="G132" s="19" t="s">
        <v>274</v>
      </c>
      <c r="H132" s="22" t="s">
        <v>19</v>
      </c>
    </row>
    <row r="133" spans="1:8" ht="23" x14ac:dyDescent="0.25">
      <c r="A133" s="17">
        <v>43181</v>
      </c>
      <c r="B133" s="18" t="s">
        <v>275</v>
      </c>
      <c r="C133" s="19" t="s">
        <v>276</v>
      </c>
      <c r="D133" s="24"/>
      <c r="E133" s="20">
        <v>600</v>
      </c>
      <c r="F133" s="21" t="s">
        <v>2</v>
      </c>
      <c r="G133" s="19" t="s">
        <v>76</v>
      </c>
      <c r="H133" s="22" t="s">
        <v>19</v>
      </c>
    </row>
    <row r="134" spans="1:8" x14ac:dyDescent="0.25">
      <c r="A134" s="17">
        <v>43190</v>
      </c>
      <c r="B134" s="18" t="s">
        <v>277</v>
      </c>
      <c r="C134" s="19" t="s">
        <v>278</v>
      </c>
      <c r="D134" s="24"/>
      <c r="E134" s="20">
        <v>159</v>
      </c>
      <c r="F134" s="21" t="s">
        <v>2</v>
      </c>
      <c r="G134" s="19" t="s">
        <v>56</v>
      </c>
      <c r="H134" s="22" t="s">
        <v>19</v>
      </c>
    </row>
    <row r="135" spans="1:8" x14ac:dyDescent="0.25">
      <c r="A135" s="17">
        <v>43190</v>
      </c>
      <c r="B135" s="18" t="s">
        <v>279</v>
      </c>
      <c r="C135" s="19" t="s">
        <v>280</v>
      </c>
      <c r="D135" s="24"/>
      <c r="E135" s="20">
        <v>2540</v>
      </c>
      <c r="F135" s="21" t="s">
        <v>2</v>
      </c>
      <c r="G135" s="19" t="s">
        <v>56</v>
      </c>
      <c r="H135" s="22" t="s">
        <v>19</v>
      </c>
    </row>
    <row r="136" spans="1:8" x14ac:dyDescent="0.25">
      <c r="A136" s="17">
        <v>43190</v>
      </c>
      <c r="B136" s="18" t="s">
        <v>281</v>
      </c>
      <c r="C136" s="19" t="s">
        <v>282</v>
      </c>
      <c r="D136" s="24"/>
      <c r="E136" s="20">
        <v>304</v>
      </c>
      <c r="F136" s="21" t="s">
        <v>15</v>
      </c>
      <c r="G136" s="19" t="s">
        <v>283</v>
      </c>
      <c r="H136" s="22" t="s">
        <v>19</v>
      </c>
    </row>
    <row r="137" spans="1:8" x14ac:dyDescent="0.25">
      <c r="A137" s="17">
        <v>43190</v>
      </c>
      <c r="B137" s="18" t="s">
        <v>284</v>
      </c>
      <c r="C137" s="19" t="s">
        <v>285</v>
      </c>
      <c r="D137" s="24"/>
      <c r="E137" s="20">
        <v>1250</v>
      </c>
      <c r="F137" s="21" t="s">
        <v>21</v>
      </c>
      <c r="G137" s="19" t="s">
        <v>286</v>
      </c>
      <c r="H137" s="22" t="s">
        <v>19</v>
      </c>
    </row>
    <row r="138" spans="1:8" x14ac:dyDescent="0.25">
      <c r="A138" s="17">
        <v>43190</v>
      </c>
      <c r="B138" s="18" t="s">
        <v>287</v>
      </c>
      <c r="C138" s="19" t="s">
        <v>239</v>
      </c>
      <c r="D138" s="24"/>
      <c r="E138" s="20">
        <v>319</v>
      </c>
      <c r="F138" s="21" t="s">
        <v>2</v>
      </c>
      <c r="G138" s="19" t="s">
        <v>56</v>
      </c>
      <c r="H138" s="22" t="s">
        <v>19</v>
      </c>
    </row>
    <row r="139" spans="1:8" x14ac:dyDescent="0.25">
      <c r="A139" s="17">
        <v>43190</v>
      </c>
      <c r="B139" s="18" t="s">
        <v>288</v>
      </c>
      <c r="C139" s="19" t="s">
        <v>289</v>
      </c>
      <c r="D139" s="24"/>
      <c r="E139" s="20">
        <v>899</v>
      </c>
      <c r="F139" s="21" t="s">
        <v>21</v>
      </c>
      <c r="G139" s="19" t="s">
        <v>290</v>
      </c>
      <c r="H139" s="22" t="s">
        <v>19</v>
      </c>
    </row>
    <row r="140" spans="1:8" x14ac:dyDescent="0.25">
      <c r="A140" s="32"/>
      <c r="B140" s="31"/>
      <c r="C140" s="19"/>
      <c r="D140" s="24"/>
      <c r="E140" s="20"/>
      <c r="F140" s="21"/>
      <c r="G140" s="19"/>
      <c r="H140" s="22"/>
    </row>
    <row r="141" spans="1:8" x14ac:dyDescent="0.25">
      <c r="A141" s="2" t="s">
        <v>291</v>
      </c>
      <c r="B141" s="2">
        <f>SUBTOTAL(103,Table1[Receipt No.])</f>
        <v>126</v>
      </c>
      <c r="C141" s="3"/>
      <c r="D141" s="28">
        <f>SUBTOTAL(109,Table1[Amount Deposited])</f>
        <v>77028</v>
      </c>
      <c r="E141" s="27">
        <f>SUBTOTAL(109,Table1[Amount Withdrawn])</f>
        <v>80484.58</v>
      </c>
      <c r="F141" s="1"/>
      <c r="G141" s="3"/>
      <c r="H141" s="4"/>
    </row>
  </sheetData>
  <mergeCells count="3">
    <mergeCell ref="F3:G3"/>
    <mergeCell ref="A1:G1"/>
    <mergeCell ref="A3:C3"/>
  </mergeCells>
  <phoneticPr fontId="1" type="noConversion"/>
  <conditionalFormatting sqref="E3">
    <cfRule type="cellIs" dxfId="20" priority="1" stopIfTrue="1" operator="lessThan">
      <formula>0</formula>
    </cfRule>
  </conditionalFormatting>
  <dataValidations count="1">
    <dataValidation type="list" allowBlank="1" showInputMessage="1" showErrorMessage="1" sqref="F25 F28 F30 F6:F22 F41:F44 F57 F68 F137:F138" xr:uid="{00000000-0002-0000-0100-000000000000}">
      <formula1>$J$1:$J$10</formula1>
    </dataValidation>
  </dataValidations>
  <printOptions horizontalCentered="1"/>
  <pageMargins left="0.75" right="0.75" top="1" bottom="1" header="0.5" footer="0.5"/>
  <pageSetup scale="20" orientation="landscape" horizontalDpi="300" verticalDpi="300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D46E-A90D-4056-B048-B3B59FB5627E}">
  <sheetPr>
    <pageSetUpPr fitToPage="1"/>
  </sheetPr>
  <dimension ref="A1:J168"/>
  <sheetViews>
    <sheetView showGridLines="0" topLeftCell="A2" zoomScale="110" zoomScaleNormal="110" workbookViewId="0">
      <selection activeCell="C30" sqref="C30"/>
    </sheetView>
  </sheetViews>
  <sheetFormatPr defaultColWidth="9.1796875" defaultRowHeight="12.5" x14ac:dyDescent="0.25"/>
  <cols>
    <col min="1" max="1" width="9.54296875" style="8" bestFit="1" customWidth="1"/>
    <col min="2" max="2" width="13.453125" style="8" bestFit="1" customWidth="1"/>
    <col min="3" max="3" width="31.81640625" style="5" bestFit="1" customWidth="1"/>
    <col min="4" max="4" width="15.81640625" style="9" bestFit="1" customWidth="1"/>
    <col min="5" max="5" width="16.1796875" style="9" bestFit="1" customWidth="1"/>
    <col min="6" max="6" width="18.453125" style="5" bestFit="1" customWidth="1"/>
    <col min="7" max="7" width="16.81640625" style="5" customWidth="1"/>
    <col min="8" max="8" width="13.54296875" style="8" bestFit="1" customWidth="1"/>
    <col min="9" max="9" width="9.1796875" style="5"/>
    <col min="10" max="10" width="17.453125" style="5" bestFit="1" customWidth="1"/>
    <col min="11" max="16384" width="9.1796875" style="5"/>
  </cols>
  <sheetData>
    <row r="1" spans="1:10" ht="20.5" thickBot="1" x14ac:dyDescent="0.3">
      <c r="A1" s="52" t="s">
        <v>0</v>
      </c>
      <c r="B1" s="52"/>
      <c r="C1" s="52"/>
      <c r="D1" s="52"/>
      <c r="E1" s="52"/>
      <c r="F1" s="52"/>
      <c r="G1" s="52"/>
      <c r="H1" s="30" t="s">
        <v>292</v>
      </c>
      <c r="I1" s="1"/>
      <c r="J1" s="6" t="s">
        <v>2</v>
      </c>
    </row>
    <row r="2" spans="1:10" ht="15.5" x14ac:dyDescent="0.25">
      <c r="A2" s="7"/>
      <c r="B2" s="2"/>
      <c r="C2" s="1"/>
      <c r="D2" s="43"/>
      <c r="E2" s="43"/>
      <c r="F2" s="1"/>
      <c r="G2" s="1"/>
      <c r="H2" s="2"/>
      <c r="I2" s="1"/>
      <c r="J2" s="6" t="s">
        <v>3</v>
      </c>
    </row>
    <row r="3" spans="1:10" ht="13.5" x14ac:dyDescent="0.25">
      <c r="A3" s="53" t="str">
        <f>"For "&amp;TEXT(MIN(A6:A167),"dd/mm/yyyy")&amp;" through "&amp;TEXT(MAX(A6:A167),"dd/mm/yyyy")</f>
        <v>For 01/04/2018 through 31/03/2019</v>
      </c>
      <c r="B3" s="54"/>
      <c r="C3" s="54"/>
      <c r="D3" s="10" t="s">
        <v>4</v>
      </c>
      <c r="E3" s="29">
        <f>D168-E168</f>
        <v>-5647</v>
      </c>
      <c r="F3" s="50"/>
      <c r="G3" s="51"/>
      <c r="H3" s="11"/>
      <c r="I3" s="1"/>
      <c r="J3" s="6" t="s">
        <v>5</v>
      </c>
    </row>
    <row r="4" spans="1:10" ht="13.5" x14ac:dyDescent="0.25">
      <c r="A4" s="12"/>
      <c r="B4" s="13"/>
      <c r="C4" s="1"/>
      <c r="D4" s="43"/>
      <c r="E4" s="43"/>
      <c r="F4" s="1"/>
      <c r="G4" s="1"/>
      <c r="H4" s="2"/>
      <c r="I4" s="1"/>
      <c r="J4" s="6" t="s">
        <v>6</v>
      </c>
    </row>
    <row r="5" spans="1:10" ht="13.5" x14ac:dyDescent="0.25">
      <c r="A5" s="14" t="s">
        <v>7</v>
      </c>
      <c r="B5" s="14" t="s">
        <v>8</v>
      </c>
      <c r="C5" s="15" t="s">
        <v>9</v>
      </c>
      <c r="D5" s="16" t="s">
        <v>10</v>
      </c>
      <c r="E5" s="16" t="s">
        <v>11</v>
      </c>
      <c r="F5" s="15" t="s">
        <v>12</v>
      </c>
      <c r="G5" s="15" t="s">
        <v>13</v>
      </c>
      <c r="H5" s="14" t="s">
        <v>14</v>
      </c>
      <c r="I5" s="1"/>
      <c r="J5" s="6" t="s">
        <v>15</v>
      </c>
    </row>
    <row r="6" spans="1:10" s="21" customFormat="1" hidden="1" x14ac:dyDescent="0.25">
      <c r="A6" s="17">
        <v>43191</v>
      </c>
      <c r="B6" s="18" t="s">
        <v>293</v>
      </c>
      <c r="C6" s="19" t="s">
        <v>17</v>
      </c>
      <c r="D6" s="26">
        <f>'Petty Cash Log - ''17-18'!E3</f>
        <v>-3456.5800000000017</v>
      </c>
      <c r="E6" s="20"/>
      <c r="F6" s="21" t="s">
        <v>18</v>
      </c>
      <c r="G6" s="19" t="s">
        <v>19</v>
      </c>
      <c r="H6" s="22" t="s">
        <v>20</v>
      </c>
      <c r="J6" s="23" t="s">
        <v>21</v>
      </c>
    </row>
    <row r="7" spans="1:10" s="21" customFormat="1" hidden="1" x14ac:dyDescent="0.35">
      <c r="A7" s="17">
        <v>43199</v>
      </c>
      <c r="B7" s="18" t="s">
        <v>294</v>
      </c>
      <c r="C7" s="19" t="s">
        <v>295</v>
      </c>
      <c r="D7" s="24"/>
      <c r="E7" s="20">
        <v>319</v>
      </c>
      <c r="F7" s="21" t="s">
        <v>2</v>
      </c>
      <c r="G7" s="19" t="s">
        <v>56</v>
      </c>
      <c r="H7" s="22" t="s">
        <v>19</v>
      </c>
      <c r="J7" s="25" t="s">
        <v>18</v>
      </c>
    </row>
    <row r="8" spans="1:10" s="21" customFormat="1" ht="11.5" hidden="1" x14ac:dyDescent="0.25">
      <c r="A8" s="17">
        <v>43208</v>
      </c>
      <c r="B8" s="18" t="s">
        <v>296</v>
      </c>
      <c r="C8" s="19" t="s">
        <v>26</v>
      </c>
      <c r="D8" s="24"/>
      <c r="E8" s="20">
        <v>1020</v>
      </c>
      <c r="F8" s="21" t="s">
        <v>21</v>
      </c>
      <c r="G8" s="19" t="s">
        <v>65</v>
      </c>
      <c r="H8" s="22" t="s">
        <v>19</v>
      </c>
    </row>
    <row r="9" spans="1:10" s="21" customFormat="1" ht="11.5" hidden="1" x14ac:dyDescent="0.25">
      <c r="A9" s="17">
        <v>43208</v>
      </c>
      <c r="B9" s="18" t="s">
        <v>297</v>
      </c>
      <c r="C9" s="19" t="s">
        <v>298</v>
      </c>
      <c r="D9" s="24"/>
      <c r="E9" s="20">
        <v>1700</v>
      </c>
      <c r="F9" s="21" t="s">
        <v>21</v>
      </c>
      <c r="G9" s="19" t="s">
        <v>299</v>
      </c>
      <c r="H9" s="22" t="s">
        <v>19</v>
      </c>
    </row>
    <row r="10" spans="1:10" s="21" customFormat="1" ht="11.5" hidden="1" x14ac:dyDescent="0.25">
      <c r="A10" s="17">
        <v>43208</v>
      </c>
      <c r="B10" s="18" t="s">
        <v>300</v>
      </c>
      <c r="C10" s="19" t="s">
        <v>301</v>
      </c>
      <c r="D10" s="24"/>
      <c r="E10" s="20">
        <v>2455</v>
      </c>
      <c r="F10" s="21" t="s">
        <v>21</v>
      </c>
      <c r="G10" s="19" t="s">
        <v>302</v>
      </c>
      <c r="H10" s="22" t="s">
        <v>19</v>
      </c>
    </row>
    <row r="11" spans="1:10" s="21" customFormat="1" ht="11.5" hidden="1" x14ac:dyDescent="0.25">
      <c r="A11" s="17">
        <v>43208</v>
      </c>
      <c r="B11" s="18" t="s">
        <v>303</v>
      </c>
      <c r="C11" s="19" t="s">
        <v>304</v>
      </c>
      <c r="D11" s="24"/>
      <c r="E11" s="20">
        <v>475</v>
      </c>
      <c r="F11" s="21" t="s">
        <v>21</v>
      </c>
      <c r="G11" s="19" t="s">
        <v>305</v>
      </c>
      <c r="H11" s="22" t="s">
        <v>19</v>
      </c>
    </row>
    <row r="12" spans="1:10" s="21" customFormat="1" ht="11.5" hidden="1" x14ac:dyDescent="0.25">
      <c r="A12" s="17">
        <v>43208</v>
      </c>
      <c r="B12" s="18" t="s">
        <v>306</v>
      </c>
      <c r="C12" s="19" t="s">
        <v>307</v>
      </c>
      <c r="D12" s="24"/>
      <c r="E12" s="20">
        <v>118</v>
      </c>
      <c r="F12" s="21" t="s">
        <v>21</v>
      </c>
      <c r="G12" s="19" t="s">
        <v>24</v>
      </c>
      <c r="H12" s="22" t="s">
        <v>19</v>
      </c>
    </row>
    <row r="13" spans="1:10" s="21" customFormat="1" ht="23" hidden="1" x14ac:dyDescent="0.25">
      <c r="A13" s="17">
        <v>43209</v>
      </c>
      <c r="B13" s="18" t="s">
        <v>308</v>
      </c>
      <c r="C13" s="19" t="s">
        <v>309</v>
      </c>
      <c r="D13" s="24"/>
      <c r="E13" s="20">
        <v>120</v>
      </c>
      <c r="F13" s="21" t="s">
        <v>3</v>
      </c>
      <c r="G13" s="19" t="s">
        <v>310</v>
      </c>
      <c r="H13" s="22" t="s">
        <v>19</v>
      </c>
    </row>
    <row r="14" spans="1:10" s="21" customFormat="1" ht="23" hidden="1" x14ac:dyDescent="0.25">
      <c r="A14" s="17">
        <v>43214</v>
      </c>
      <c r="B14" s="18" t="s">
        <v>311</v>
      </c>
      <c r="C14" s="19" t="s">
        <v>312</v>
      </c>
      <c r="D14" s="24"/>
      <c r="E14" s="20">
        <v>660</v>
      </c>
      <c r="F14" s="21" t="s">
        <v>3</v>
      </c>
      <c r="G14" s="19" t="s">
        <v>313</v>
      </c>
      <c r="H14" s="22" t="s">
        <v>19</v>
      </c>
    </row>
    <row r="15" spans="1:10" s="21" customFormat="1" ht="11.5" hidden="1" x14ac:dyDescent="0.25">
      <c r="A15" s="32">
        <v>43217</v>
      </c>
      <c r="B15" s="18"/>
      <c r="C15" s="19" t="s">
        <v>42</v>
      </c>
      <c r="D15" s="24">
        <v>20000</v>
      </c>
      <c r="E15" s="20"/>
      <c r="F15" s="21" t="s">
        <v>18</v>
      </c>
      <c r="G15" s="19"/>
      <c r="H15" s="22" t="s">
        <v>20</v>
      </c>
    </row>
    <row r="16" spans="1:10" s="21" customFormat="1" ht="11.5" hidden="1" x14ac:dyDescent="0.25">
      <c r="A16" s="17">
        <v>43220</v>
      </c>
      <c r="B16" s="18" t="s">
        <v>314</v>
      </c>
      <c r="C16" s="19" t="s">
        <v>315</v>
      </c>
      <c r="D16" s="24"/>
      <c r="E16" s="20">
        <v>1406</v>
      </c>
      <c r="F16" s="21" t="s">
        <v>2</v>
      </c>
      <c r="G16" s="19" t="s">
        <v>46</v>
      </c>
      <c r="H16" s="22" t="s">
        <v>19</v>
      </c>
    </row>
    <row r="17" spans="1:8" s="21" customFormat="1" ht="11.5" hidden="1" x14ac:dyDescent="0.25">
      <c r="A17" s="17">
        <v>43227</v>
      </c>
      <c r="B17" s="18" t="s">
        <v>316</v>
      </c>
      <c r="C17" s="19" t="s">
        <v>317</v>
      </c>
      <c r="D17" s="24"/>
      <c r="E17" s="20">
        <v>571</v>
      </c>
      <c r="F17" s="21" t="s">
        <v>2</v>
      </c>
      <c r="G17" s="19" t="s">
        <v>318</v>
      </c>
      <c r="H17" s="22" t="s">
        <v>19</v>
      </c>
    </row>
    <row r="18" spans="1:8" s="21" customFormat="1" ht="11.5" hidden="1" x14ac:dyDescent="0.25">
      <c r="A18" s="17">
        <v>43227</v>
      </c>
      <c r="B18" s="18" t="s">
        <v>319</v>
      </c>
      <c r="C18" s="19" t="s">
        <v>295</v>
      </c>
      <c r="D18" s="24"/>
      <c r="E18" s="20">
        <f>906+212</f>
        <v>1118</v>
      </c>
      <c r="F18" s="21" t="s">
        <v>2</v>
      </c>
      <c r="G18" s="19" t="s">
        <v>56</v>
      </c>
      <c r="H18" s="22" t="s">
        <v>19</v>
      </c>
    </row>
    <row r="19" spans="1:8" s="21" customFormat="1" ht="11.5" hidden="1" x14ac:dyDescent="0.25">
      <c r="A19" s="17">
        <v>43227</v>
      </c>
      <c r="B19" s="18" t="s">
        <v>320</v>
      </c>
      <c r="C19" s="19" t="s">
        <v>85</v>
      </c>
      <c r="D19" s="24"/>
      <c r="E19" s="20">
        <v>99</v>
      </c>
      <c r="F19" s="21" t="s">
        <v>2</v>
      </c>
      <c r="G19" s="19" t="s">
        <v>113</v>
      </c>
      <c r="H19" s="22" t="s">
        <v>19</v>
      </c>
    </row>
    <row r="20" spans="1:8" s="21" customFormat="1" ht="11.5" hidden="1" x14ac:dyDescent="0.25">
      <c r="A20" s="17">
        <v>43231</v>
      </c>
      <c r="B20" s="18" t="s">
        <v>321</v>
      </c>
      <c r="C20" s="19" t="s">
        <v>322</v>
      </c>
      <c r="D20" s="24"/>
      <c r="E20" s="20">
        <v>3000</v>
      </c>
      <c r="F20" s="21" t="s">
        <v>21</v>
      </c>
      <c r="G20" s="19" t="s">
        <v>323</v>
      </c>
      <c r="H20" s="22" t="s">
        <v>19</v>
      </c>
    </row>
    <row r="21" spans="1:8" s="21" customFormat="1" ht="11.5" hidden="1" x14ac:dyDescent="0.25">
      <c r="A21" s="17">
        <v>43231</v>
      </c>
      <c r="B21" s="18" t="s">
        <v>324</v>
      </c>
      <c r="C21" s="19" t="s">
        <v>325</v>
      </c>
      <c r="D21" s="24"/>
      <c r="E21" s="20">
        <v>411</v>
      </c>
      <c r="F21" s="21" t="s">
        <v>21</v>
      </c>
      <c r="G21" s="19" t="s">
        <v>326</v>
      </c>
      <c r="H21" s="22" t="s">
        <v>19</v>
      </c>
    </row>
    <row r="22" spans="1:8" s="21" customFormat="1" ht="11.5" hidden="1" x14ac:dyDescent="0.25">
      <c r="A22" s="17">
        <v>43234</v>
      </c>
      <c r="B22" s="18" t="s">
        <v>327</v>
      </c>
      <c r="C22" s="19" t="s">
        <v>328</v>
      </c>
      <c r="D22" s="24"/>
      <c r="E22" s="20">
        <v>586</v>
      </c>
      <c r="F22" s="21" t="s">
        <v>5</v>
      </c>
      <c r="G22" s="19" t="s">
        <v>269</v>
      </c>
      <c r="H22" s="22" t="s">
        <v>19</v>
      </c>
    </row>
    <row r="23" spans="1:8" s="21" customFormat="1" ht="23" hidden="1" x14ac:dyDescent="0.25">
      <c r="A23" s="17">
        <v>43234</v>
      </c>
      <c r="B23" s="18" t="s">
        <v>329</v>
      </c>
      <c r="C23" s="19" t="s">
        <v>330</v>
      </c>
      <c r="D23" s="24"/>
      <c r="E23" s="20">
        <v>643</v>
      </c>
      <c r="F23" s="21" t="s">
        <v>2</v>
      </c>
      <c r="G23" s="19" t="s">
        <v>331</v>
      </c>
      <c r="H23" s="22" t="s">
        <v>19</v>
      </c>
    </row>
    <row r="24" spans="1:8" s="21" customFormat="1" ht="11.5" hidden="1" x14ac:dyDescent="0.25">
      <c r="A24" s="17">
        <v>43235</v>
      </c>
      <c r="B24" s="18" t="s">
        <v>332</v>
      </c>
      <c r="C24" s="19" t="s">
        <v>333</v>
      </c>
      <c r="D24" s="24"/>
      <c r="E24" s="20">
        <v>400</v>
      </c>
      <c r="F24" s="21" t="s">
        <v>2</v>
      </c>
      <c r="G24" s="19" t="s">
        <v>334</v>
      </c>
      <c r="H24" s="22" t="s">
        <v>19</v>
      </c>
    </row>
    <row r="25" spans="1:8" s="21" customFormat="1" ht="23" hidden="1" x14ac:dyDescent="0.25">
      <c r="A25" s="17">
        <v>43236</v>
      </c>
      <c r="B25" s="18" t="s">
        <v>335</v>
      </c>
      <c r="C25" s="19" t="s">
        <v>336</v>
      </c>
      <c r="D25" s="24"/>
      <c r="E25" s="20">
        <v>350</v>
      </c>
      <c r="F25" s="21" t="s">
        <v>21</v>
      </c>
      <c r="G25" s="19" t="s">
        <v>337</v>
      </c>
      <c r="H25" s="22" t="s">
        <v>19</v>
      </c>
    </row>
    <row r="26" spans="1:8" s="21" customFormat="1" ht="11.5" hidden="1" x14ac:dyDescent="0.25">
      <c r="A26" s="17">
        <v>43237</v>
      </c>
      <c r="B26" s="18" t="s">
        <v>338</v>
      </c>
      <c r="C26" s="19" t="s">
        <v>339</v>
      </c>
      <c r="D26" s="24"/>
      <c r="E26" s="20">
        <v>80</v>
      </c>
      <c r="F26" s="21" t="s">
        <v>3</v>
      </c>
      <c r="G26" s="19" t="s">
        <v>313</v>
      </c>
      <c r="H26" s="22" t="s">
        <v>19</v>
      </c>
    </row>
    <row r="27" spans="1:8" s="21" customFormat="1" ht="11.5" hidden="1" x14ac:dyDescent="0.25">
      <c r="A27" s="17">
        <v>43237</v>
      </c>
      <c r="B27" s="18" t="s">
        <v>340</v>
      </c>
      <c r="C27" s="19" t="s">
        <v>341</v>
      </c>
      <c r="D27" s="24"/>
      <c r="E27" s="20">
        <v>350</v>
      </c>
      <c r="F27" s="21" t="s">
        <v>2</v>
      </c>
      <c r="G27" s="19" t="s">
        <v>342</v>
      </c>
      <c r="H27" s="22" t="s">
        <v>19</v>
      </c>
    </row>
    <row r="28" spans="1:8" s="21" customFormat="1" ht="23" hidden="1" x14ac:dyDescent="0.25">
      <c r="A28" s="17">
        <v>43239</v>
      </c>
      <c r="B28" s="18" t="s">
        <v>343</v>
      </c>
      <c r="C28" s="19" t="s">
        <v>344</v>
      </c>
      <c r="D28" s="24"/>
      <c r="E28" s="20">
        <f>350*5</f>
        <v>1750</v>
      </c>
      <c r="F28" s="21" t="s">
        <v>21</v>
      </c>
      <c r="G28" s="19" t="s">
        <v>337</v>
      </c>
      <c r="H28" s="22" t="s">
        <v>19</v>
      </c>
    </row>
    <row r="29" spans="1:8" s="21" customFormat="1" ht="11.5" hidden="1" x14ac:dyDescent="0.25">
      <c r="A29" s="17">
        <v>43239</v>
      </c>
      <c r="B29" s="18" t="s">
        <v>345</v>
      </c>
      <c r="C29" s="19" t="s">
        <v>346</v>
      </c>
      <c r="D29" s="24"/>
      <c r="E29" s="20">
        <v>327</v>
      </c>
      <c r="F29" s="21" t="s">
        <v>5</v>
      </c>
      <c r="G29" s="19" t="s">
        <v>269</v>
      </c>
      <c r="H29" s="22" t="s">
        <v>19</v>
      </c>
    </row>
    <row r="30" spans="1:8" s="21" customFormat="1" ht="23" x14ac:dyDescent="0.25">
      <c r="A30" s="17">
        <v>43241</v>
      </c>
      <c r="B30" s="18" t="s">
        <v>347</v>
      </c>
      <c r="C30" s="19" t="s">
        <v>348</v>
      </c>
      <c r="D30" s="24"/>
      <c r="E30" s="20">
        <v>740</v>
      </c>
      <c r="F30" s="21" t="s">
        <v>2</v>
      </c>
      <c r="G30" s="19" t="s">
        <v>152</v>
      </c>
      <c r="H30" s="22" t="s">
        <v>19</v>
      </c>
    </row>
    <row r="31" spans="1:8" s="21" customFormat="1" ht="11.5" hidden="1" x14ac:dyDescent="0.25">
      <c r="A31" s="17">
        <v>43241</v>
      </c>
      <c r="B31" s="18" t="s">
        <v>349</v>
      </c>
      <c r="C31" s="19" t="s">
        <v>350</v>
      </c>
      <c r="D31" s="24"/>
      <c r="E31" s="20">
        <v>106</v>
      </c>
      <c r="F31" s="21" t="s">
        <v>2</v>
      </c>
      <c r="G31" s="19" t="s">
        <v>56</v>
      </c>
      <c r="H31" s="22" t="s">
        <v>19</v>
      </c>
    </row>
    <row r="32" spans="1:8" s="21" customFormat="1" ht="11.5" hidden="1" x14ac:dyDescent="0.25">
      <c r="A32" s="17">
        <v>43242</v>
      </c>
      <c r="B32" s="18"/>
      <c r="C32" s="19" t="s">
        <v>42</v>
      </c>
      <c r="D32" s="24">
        <v>15000</v>
      </c>
      <c r="E32" s="20"/>
      <c r="F32" s="21" t="s">
        <v>18</v>
      </c>
      <c r="G32" s="19"/>
      <c r="H32" s="22" t="s">
        <v>20</v>
      </c>
    </row>
    <row r="33" spans="1:8" s="21" customFormat="1" ht="23" hidden="1" x14ac:dyDescent="0.25">
      <c r="A33" s="17">
        <v>43242</v>
      </c>
      <c r="B33" s="18" t="s">
        <v>351</v>
      </c>
      <c r="C33" s="19" t="s">
        <v>352</v>
      </c>
      <c r="D33" s="24"/>
      <c r="E33" s="20">
        <f>750+350+20</f>
        <v>1120</v>
      </c>
      <c r="F33" s="21" t="s">
        <v>21</v>
      </c>
      <c r="G33" s="19" t="s">
        <v>353</v>
      </c>
      <c r="H33" s="22" t="s">
        <v>19</v>
      </c>
    </row>
    <row r="34" spans="1:8" s="21" customFormat="1" ht="11.5" hidden="1" x14ac:dyDescent="0.25">
      <c r="A34" s="17">
        <v>43245</v>
      </c>
      <c r="B34" s="18" t="s">
        <v>354</v>
      </c>
      <c r="C34" s="19" t="s">
        <v>355</v>
      </c>
      <c r="D34" s="24"/>
      <c r="E34" s="20">
        <v>1078</v>
      </c>
      <c r="F34" s="21" t="s">
        <v>21</v>
      </c>
      <c r="G34" s="19" t="s">
        <v>20</v>
      </c>
      <c r="H34" s="22" t="s">
        <v>19</v>
      </c>
    </row>
    <row r="35" spans="1:8" s="21" customFormat="1" ht="11.5" hidden="1" x14ac:dyDescent="0.25">
      <c r="A35" s="17">
        <v>43248</v>
      </c>
      <c r="B35" s="18" t="s">
        <v>356</v>
      </c>
      <c r="C35" s="19" t="s">
        <v>357</v>
      </c>
      <c r="D35" s="24"/>
      <c r="E35" s="20">
        <v>600</v>
      </c>
      <c r="F35" s="21" t="s">
        <v>3</v>
      </c>
      <c r="G35" s="19" t="s">
        <v>313</v>
      </c>
      <c r="H35" s="22" t="s">
        <v>19</v>
      </c>
    </row>
    <row r="36" spans="1:8" s="21" customFormat="1" ht="11.5" hidden="1" x14ac:dyDescent="0.25">
      <c r="A36" s="17">
        <v>43248</v>
      </c>
      <c r="B36" s="18" t="s">
        <v>358</v>
      </c>
      <c r="C36" s="19" t="s">
        <v>359</v>
      </c>
      <c r="D36" s="24"/>
      <c r="E36" s="20">
        <v>575</v>
      </c>
      <c r="F36" s="21" t="s">
        <v>21</v>
      </c>
      <c r="G36" s="19" t="s">
        <v>360</v>
      </c>
      <c r="H36" s="22" t="s">
        <v>19</v>
      </c>
    </row>
    <row r="37" spans="1:8" s="21" customFormat="1" ht="11.5" hidden="1" x14ac:dyDescent="0.25">
      <c r="A37" s="17">
        <v>43249</v>
      </c>
      <c r="B37" s="18" t="s">
        <v>361</v>
      </c>
      <c r="C37" s="19" t="s">
        <v>362</v>
      </c>
      <c r="D37" s="24"/>
      <c r="E37" s="20">
        <v>1440</v>
      </c>
      <c r="F37" s="21" t="s">
        <v>21</v>
      </c>
      <c r="G37" s="19" t="s">
        <v>363</v>
      </c>
      <c r="H37" s="22" t="s">
        <v>19</v>
      </c>
    </row>
    <row r="38" spans="1:8" s="21" customFormat="1" ht="11.5" hidden="1" x14ac:dyDescent="0.25">
      <c r="A38" s="17">
        <v>43250</v>
      </c>
      <c r="B38" s="18" t="s">
        <v>364</v>
      </c>
      <c r="C38" s="19" t="s">
        <v>365</v>
      </c>
      <c r="D38" s="24"/>
      <c r="E38" s="26">
        <v>100</v>
      </c>
      <c r="F38" s="21" t="s">
        <v>3</v>
      </c>
      <c r="G38" s="19" t="s">
        <v>313</v>
      </c>
      <c r="H38" s="22" t="s">
        <v>19</v>
      </c>
    </row>
    <row r="39" spans="1:8" s="21" customFormat="1" ht="11.5" hidden="1" x14ac:dyDescent="0.25">
      <c r="A39" s="17">
        <v>43250</v>
      </c>
      <c r="B39" s="18" t="s">
        <v>366</v>
      </c>
      <c r="C39" s="19" t="s">
        <v>367</v>
      </c>
      <c r="D39" s="24"/>
      <c r="E39" s="20">
        <v>200</v>
      </c>
      <c r="F39" s="21" t="s">
        <v>21</v>
      </c>
      <c r="G39" s="19" t="s">
        <v>334</v>
      </c>
      <c r="H39" s="22" t="s">
        <v>19</v>
      </c>
    </row>
    <row r="40" spans="1:8" s="21" customFormat="1" ht="23" hidden="1" x14ac:dyDescent="0.25">
      <c r="A40" s="17">
        <v>43251</v>
      </c>
      <c r="B40" s="18" t="s">
        <v>368</v>
      </c>
      <c r="C40" s="19" t="s">
        <v>369</v>
      </c>
      <c r="D40" s="24"/>
      <c r="E40" s="20">
        <v>949</v>
      </c>
      <c r="F40" s="21" t="s">
        <v>370</v>
      </c>
      <c r="G40" s="19" t="s">
        <v>371</v>
      </c>
      <c r="H40" s="22" t="s">
        <v>19</v>
      </c>
    </row>
    <row r="41" spans="1:8" s="21" customFormat="1" ht="11.5" hidden="1" x14ac:dyDescent="0.25">
      <c r="A41" s="17">
        <v>43251</v>
      </c>
      <c r="B41" s="18" t="s">
        <v>372</v>
      </c>
      <c r="C41" s="19" t="s">
        <v>373</v>
      </c>
      <c r="D41" s="24"/>
      <c r="E41" s="20">
        <v>1360</v>
      </c>
      <c r="F41" s="21" t="s">
        <v>6</v>
      </c>
      <c r="G41" s="19" t="s">
        <v>374</v>
      </c>
      <c r="H41" s="22" t="s">
        <v>19</v>
      </c>
    </row>
    <row r="42" spans="1:8" s="21" customFormat="1" ht="11.5" hidden="1" x14ac:dyDescent="0.25">
      <c r="A42" s="17">
        <v>43252</v>
      </c>
      <c r="B42" s="18" t="s">
        <v>375</v>
      </c>
      <c r="C42" s="19" t="s">
        <v>322</v>
      </c>
      <c r="D42" s="24"/>
      <c r="E42" s="20">
        <v>3000</v>
      </c>
      <c r="F42" s="21" t="s">
        <v>21</v>
      </c>
      <c r="G42" s="19" t="s">
        <v>323</v>
      </c>
      <c r="H42" s="22" t="s">
        <v>19</v>
      </c>
    </row>
    <row r="43" spans="1:8" s="21" customFormat="1" ht="11.5" hidden="1" x14ac:dyDescent="0.25">
      <c r="A43" s="17">
        <v>43257</v>
      </c>
      <c r="B43" s="18" t="s">
        <v>376</v>
      </c>
      <c r="C43" s="19" t="s">
        <v>239</v>
      </c>
      <c r="D43" s="24"/>
      <c r="E43" s="20">
        <v>106</v>
      </c>
      <c r="F43" s="21" t="s">
        <v>21</v>
      </c>
      <c r="G43" s="19" t="s">
        <v>56</v>
      </c>
      <c r="H43" s="22" t="s">
        <v>19</v>
      </c>
    </row>
    <row r="44" spans="1:8" s="21" customFormat="1" ht="11.5" hidden="1" x14ac:dyDescent="0.25">
      <c r="A44" s="17">
        <v>43262</v>
      </c>
      <c r="B44" s="18" t="s">
        <v>377</v>
      </c>
      <c r="C44" s="19" t="s">
        <v>378</v>
      </c>
      <c r="D44" s="24"/>
      <c r="E44" s="20">
        <v>600</v>
      </c>
      <c r="F44" s="21" t="s">
        <v>21</v>
      </c>
      <c r="G44" s="19" t="s">
        <v>334</v>
      </c>
      <c r="H44" s="22" t="s">
        <v>19</v>
      </c>
    </row>
    <row r="45" spans="1:8" hidden="1" x14ac:dyDescent="0.25">
      <c r="A45" s="17">
        <v>43264</v>
      </c>
      <c r="B45" s="18" t="s">
        <v>379</v>
      </c>
      <c r="C45" s="19" t="s">
        <v>380</v>
      </c>
      <c r="D45" s="24"/>
      <c r="E45" s="20">
        <f>45+265+50</f>
        <v>360</v>
      </c>
      <c r="F45" s="21" t="s">
        <v>21</v>
      </c>
      <c r="G45" s="44" t="s">
        <v>381</v>
      </c>
      <c r="H45" s="22" t="s">
        <v>19</v>
      </c>
    </row>
    <row r="46" spans="1:8" hidden="1" x14ac:dyDescent="0.25">
      <c r="A46" s="17">
        <v>43263</v>
      </c>
      <c r="B46" s="18" t="s">
        <v>382</v>
      </c>
      <c r="C46" s="19" t="s">
        <v>383</v>
      </c>
      <c r="D46" s="24"/>
      <c r="E46" s="20">
        <v>299</v>
      </c>
      <c r="F46" s="21" t="s">
        <v>370</v>
      </c>
      <c r="G46" s="19" t="s">
        <v>36</v>
      </c>
      <c r="H46" s="22" t="s">
        <v>19</v>
      </c>
    </row>
    <row r="47" spans="1:8" hidden="1" x14ac:dyDescent="0.25">
      <c r="A47" s="17">
        <v>43269</v>
      </c>
      <c r="B47" s="18" t="s">
        <v>384</v>
      </c>
      <c r="C47" s="19" t="s">
        <v>385</v>
      </c>
      <c r="D47" s="24"/>
      <c r="E47" s="20">
        <v>2013</v>
      </c>
      <c r="F47" s="21" t="s">
        <v>370</v>
      </c>
      <c r="G47" s="19" t="s">
        <v>386</v>
      </c>
      <c r="H47" s="22" t="s">
        <v>19</v>
      </c>
    </row>
    <row r="48" spans="1:8" hidden="1" x14ac:dyDescent="0.25">
      <c r="A48" s="17">
        <v>43283</v>
      </c>
      <c r="B48" s="18" t="s">
        <v>387</v>
      </c>
      <c r="C48" s="19" t="s">
        <v>388</v>
      </c>
      <c r="D48" s="24"/>
      <c r="E48" s="20">
        <f>295+228</f>
        <v>523</v>
      </c>
      <c r="F48" s="21" t="s">
        <v>5</v>
      </c>
      <c r="G48" s="19" t="s">
        <v>269</v>
      </c>
      <c r="H48" s="22" t="s">
        <v>19</v>
      </c>
    </row>
    <row r="49" spans="1:8" ht="23" hidden="1" x14ac:dyDescent="0.25">
      <c r="A49" s="17">
        <v>43283</v>
      </c>
      <c r="B49" s="18" t="s">
        <v>389</v>
      </c>
      <c r="C49" s="19" t="s">
        <v>390</v>
      </c>
      <c r="D49" s="24"/>
      <c r="E49" s="20">
        <v>590</v>
      </c>
      <c r="F49" s="21" t="s">
        <v>5</v>
      </c>
      <c r="G49" s="19" t="s">
        <v>391</v>
      </c>
      <c r="H49" s="22" t="s">
        <v>19</v>
      </c>
    </row>
    <row r="50" spans="1:8" hidden="1" x14ac:dyDescent="0.25">
      <c r="A50" s="17">
        <v>43283</v>
      </c>
      <c r="B50" s="31"/>
      <c r="C50" s="19" t="s">
        <v>42</v>
      </c>
      <c r="D50" s="24">
        <v>5000</v>
      </c>
      <c r="E50" s="20"/>
      <c r="F50" s="21" t="s">
        <v>18</v>
      </c>
      <c r="G50" s="19"/>
      <c r="H50" s="22" t="s">
        <v>20</v>
      </c>
    </row>
    <row r="51" spans="1:8" hidden="1" x14ac:dyDescent="0.25">
      <c r="A51" s="17">
        <v>43292</v>
      </c>
      <c r="B51" s="18" t="s">
        <v>392</v>
      </c>
      <c r="C51" s="19" t="s">
        <v>393</v>
      </c>
      <c r="D51" s="24"/>
      <c r="E51" s="20">
        <f>308+435</f>
        <v>743</v>
      </c>
      <c r="F51" s="21" t="s">
        <v>370</v>
      </c>
      <c r="G51" s="19" t="s">
        <v>394</v>
      </c>
      <c r="H51" s="22" t="s">
        <v>19</v>
      </c>
    </row>
    <row r="52" spans="1:8" hidden="1" x14ac:dyDescent="0.25">
      <c r="A52" s="17">
        <v>43286</v>
      </c>
      <c r="B52" s="18" t="s">
        <v>395</v>
      </c>
      <c r="C52" s="19" t="s">
        <v>396</v>
      </c>
      <c r="D52" s="24"/>
      <c r="E52" s="20">
        <v>297</v>
      </c>
      <c r="F52" s="21" t="s">
        <v>21</v>
      </c>
      <c r="G52" s="19" t="s">
        <v>397</v>
      </c>
      <c r="H52" s="22" t="s">
        <v>19</v>
      </c>
    </row>
    <row r="53" spans="1:8" hidden="1" x14ac:dyDescent="0.25">
      <c r="A53" s="17">
        <v>43298</v>
      </c>
      <c r="B53" s="18" t="s">
        <v>398</v>
      </c>
      <c r="C53" s="19" t="s">
        <v>399</v>
      </c>
      <c r="D53" s="24"/>
      <c r="E53" s="20">
        <v>3884</v>
      </c>
      <c r="F53" s="21" t="s">
        <v>21</v>
      </c>
      <c r="G53" s="19" t="s">
        <v>400</v>
      </c>
      <c r="H53" s="22" t="s">
        <v>19</v>
      </c>
    </row>
    <row r="54" spans="1:8" hidden="1" x14ac:dyDescent="0.25">
      <c r="A54" s="17">
        <v>43307</v>
      </c>
      <c r="B54" s="18" t="s">
        <v>401</v>
      </c>
      <c r="C54" s="19" t="s">
        <v>402</v>
      </c>
      <c r="D54" s="24"/>
      <c r="E54" s="20">
        <v>70</v>
      </c>
      <c r="F54" s="21" t="s">
        <v>3</v>
      </c>
      <c r="G54" s="19" t="s">
        <v>313</v>
      </c>
      <c r="H54" s="22" t="s">
        <v>19</v>
      </c>
    </row>
    <row r="55" spans="1:8" hidden="1" x14ac:dyDescent="0.25">
      <c r="A55" s="17">
        <v>43307</v>
      </c>
      <c r="B55" s="18" t="s">
        <v>403</v>
      </c>
      <c r="C55" s="19" t="s">
        <v>404</v>
      </c>
      <c r="D55" s="24"/>
      <c r="E55" s="20">
        <v>2597</v>
      </c>
      <c r="F55" s="21" t="s">
        <v>21</v>
      </c>
      <c r="G55" s="19" t="s">
        <v>405</v>
      </c>
      <c r="H55" s="22" t="s">
        <v>19</v>
      </c>
    </row>
    <row r="56" spans="1:8" hidden="1" x14ac:dyDescent="0.25">
      <c r="A56" s="17">
        <v>43312</v>
      </c>
      <c r="B56" s="18" t="s">
        <v>406</v>
      </c>
      <c r="C56" s="19" t="s">
        <v>407</v>
      </c>
      <c r="D56" s="24"/>
      <c r="E56" s="20">
        <v>190</v>
      </c>
      <c r="F56" s="21" t="s">
        <v>370</v>
      </c>
      <c r="G56" s="19" t="s">
        <v>408</v>
      </c>
      <c r="H56" s="22" t="s">
        <v>19</v>
      </c>
    </row>
    <row r="57" spans="1:8" hidden="1" x14ac:dyDescent="0.25">
      <c r="A57" s="17">
        <v>43313</v>
      </c>
      <c r="B57" s="31"/>
      <c r="C57" s="19" t="s">
        <v>42</v>
      </c>
      <c r="D57" s="24">
        <v>10000</v>
      </c>
      <c r="E57" s="20"/>
      <c r="F57" s="21" t="s">
        <v>18</v>
      </c>
      <c r="G57" s="19"/>
      <c r="H57" s="22" t="s">
        <v>20</v>
      </c>
    </row>
    <row r="58" spans="1:8" hidden="1" x14ac:dyDescent="0.25">
      <c r="A58" s="17">
        <v>43313</v>
      </c>
      <c r="B58" s="18" t="s">
        <v>409</v>
      </c>
      <c r="C58" s="19" t="s">
        <v>295</v>
      </c>
      <c r="D58" s="24"/>
      <c r="E58" s="20">
        <v>120</v>
      </c>
      <c r="F58" s="21" t="s">
        <v>21</v>
      </c>
      <c r="G58" s="19" t="s">
        <v>56</v>
      </c>
      <c r="H58" s="22" t="s">
        <v>19</v>
      </c>
    </row>
    <row r="59" spans="1:8" hidden="1" x14ac:dyDescent="0.25">
      <c r="A59" s="17">
        <v>43313</v>
      </c>
      <c r="B59" s="18" t="s">
        <v>410</v>
      </c>
      <c r="C59" s="19" t="s">
        <v>411</v>
      </c>
      <c r="D59" s="24"/>
      <c r="E59" s="20">
        <v>847</v>
      </c>
      <c r="F59" s="21" t="s">
        <v>21</v>
      </c>
      <c r="G59" s="19" t="s">
        <v>412</v>
      </c>
      <c r="H59" s="22" t="s">
        <v>19</v>
      </c>
    </row>
    <row r="60" spans="1:8" hidden="1" x14ac:dyDescent="0.25">
      <c r="A60" s="17">
        <v>43333</v>
      </c>
      <c r="B60" s="18" t="s">
        <v>413</v>
      </c>
      <c r="C60" s="19" t="s">
        <v>414</v>
      </c>
      <c r="D60" s="24"/>
      <c r="E60" s="20">
        <v>1918</v>
      </c>
      <c r="F60" s="21" t="s">
        <v>21</v>
      </c>
      <c r="G60" s="19"/>
      <c r="H60" s="22" t="s">
        <v>19</v>
      </c>
    </row>
    <row r="61" spans="1:8" hidden="1" x14ac:dyDescent="0.25">
      <c r="A61" s="17">
        <v>43333</v>
      </c>
      <c r="B61" s="18" t="s">
        <v>415</v>
      </c>
      <c r="C61" s="19" t="s">
        <v>416</v>
      </c>
      <c r="D61" s="24"/>
      <c r="E61" s="20">
        <v>1814.82</v>
      </c>
      <c r="F61" s="21" t="s">
        <v>21</v>
      </c>
      <c r="G61" s="19" t="s">
        <v>405</v>
      </c>
      <c r="H61" s="22" t="s">
        <v>19</v>
      </c>
    </row>
    <row r="62" spans="1:8" hidden="1" x14ac:dyDescent="0.25">
      <c r="A62" s="17">
        <v>43342</v>
      </c>
      <c r="B62" s="18" t="s">
        <v>417</v>
      </c>
      <c r="C62" s="19" t="s">
        <v>239</v>
      </c>
      <c r="D62" s="24"/>
      <c r="E62" s="20">
        <v>120</v>
      </c>
      <c r="F62" s="21" t="s">
        <v>21</v>
      </c>
      <c r="G62" s="19" t="s">
        <v>56</v>
      </c>
      <c r="H62" s="22" t="s">
        <v>19</v>
      </c>
    </row>
    <row r="63" spans="1:8" hidden="1" x14ac:dyDescent="0.25">
      <c r="A63" s="17">
        <v>43342</v>
      </c>
      <c r="B63" s="18" t="s">
        <v>418</v>
      </c>
      <c r="C63" s="19" t="s">
        <v>419</v>
      </c>
      <c r="D63" s="24"/>
      <c r="E63" s="20">
        <v>400</v>
      </c>
      <c r="F63" s="21" t="s">
        <v>21</v>
      </c>
      <c r="G63" s="19" t="s">
        <v>334</v>
      </c>
      <c r="H63" s="22" t="s">
        <v>19</v>
      </c>
    </row>
    <row r="64" spans="1:8" hidden="1" x14ac:dyDescent="0.25">
      <c r="A64" s="17">
        <v>43348</v>
      </c>
      <c r="B64" s="18" t="s">
        <v>420</v>
      </c>
      <c r="C64" s="19" t="s">
        <v>421</v>
      </c>
      <c r="D64" s="24"/>
      <c r="E64" s="20">
        <v>3000</v>
      </c>
      <c r="F64" s="21" t="s">
        <v>21</v>
      </c>
      <c r="G64" s="19" t="s">
        <v>323</v>
      </c>
      <c r="H64" s="22" t="s">
        <v>19</v>
      </c>
    </row>
    <row r="65" spans="1:8" hidden="1" x14ac:dyDescent="0.25">
      <c r="A65" s="17">
        <v>43348</v>
      </c>
      <c r="B65" s="18" t="s">
        <v>422</v>
      </c>
      <c r="C65" s="19" t="s">
        <v>399</v>
      </c>
      <c r="D65" s="24"/>
      <c r="E65" s="20">
        <v>666.4</v>
      </c>
      <c r="F65" s="21" t="s">
        <v>370</v>
      </c>
      <c r="G65" s="19" t="s">
        <v>423</v>
      </c>
      <c r="H65" s="22" t="s">
        <v>19</v>
      </c>
    </row>
    <row r="66" spans="1:8" hidden="1" x14ac:dyDescent="0.25">
      <c r="A66" s="17">
        <v>43348</v>
      </c>
      <c r="B66" s="18" t="s">
        <v>424</v>
      </c>
      <c r="C66" s="19" t="s">
        <v>85</v>
      </c>
      <c r="D66" s="24"/>
      <c r="E66" s="20">
        <v>420</v>
      </c>
      <c r="F66" s="21" t="s">
        <v>21</v>
      </c>
      <c r="G66" s="19" t="s">
        <v>397</v>
      </c>
      <c r="H66" s="22" t="s">
        <v>19</v>
      </c>
    </row>
    <row r="67" spans="1:8" hidden="1" x14ac:dyDescent="0.25">
      <c r="A67" s="17">
        <v>43349</v>
      </c>
      <c r="B67" s="18" t="s">
        <v>425</v>
      </c>
      <c r="C67" s="19" t="s">
        <v>426</v>
      </c>
      <c r="D67" s="24"/>
      <c r="E67" s="20">
        <v>803</v>
      </c>
      <c r="F67" s="21" t="s">
        <v>2</v>
      </c>
      <c r="G67" s="19" t="s">
        <v>56</v>
      </c>
      <c r="H67" s="22" t="s">
        <v>19</v>
      </c>
    </row>
    <row r="68" spans="1:8" hidden="1" x14ac:dyDescent="0.25">
      <c r="A68" s="17">
        <v>43349</v>
      </c>
      <c r="B68" s="31"/>
      <c r="C68" s="19" t="s">
        <v>42</v>
      </c>
      <c r="D68" s="24">
        <v>10000</v>
      </c>
      <c r="E68" s="20"/>
      <c r="F68" s="21" t="s">
        <v>18</v>
      </c>
      <c r="G68" s="19"/>
      <c r="H68" s="22" t="s">
        <v>20</v>
      </c>
    </row>
    <row r="69" spans="1:8" hidden="1" x14ac:dyDescent="0.25">
      <c r="A69" s="17">
        <v>43356</v>
      </c>
      <c r="B69" s="18" t="s">
        <v>427</v>
      </c>
      <c r="C69" s="19" t="s">
        <v>428</v>
      </c>
      <c r="D69" s="24"/>
      <c r="E69" s="20">
        <v>666</v>
      </c>
      <c r="F69" s="21" t="s">
        <v>21</v>
      </c>
      <c r="G69" s="19" t="s">
        <v>429</v>
      </c>
      <c r="H69" s="22" t="s">
        <v>19</v>
      </c>
    </row>
    <row r="70" spans="1:8" hidden="1" x14ac:dyDescent="0.25">
      <c r="A70" s="17">
        <v>43356</v>
      </c>
      <c r="B70" s="18" t="s">
        <v>430</v>
      </c>
      <c r="C70" s="19" t="s">
        <v>399</v>
      </c>
      <c r="D70" s="24"/>
      <c r="E70" s="20">
        <v>686</v>
      </c>
      <c r="F70" s="21" t="s">
        <v>21</v>
      </c>
      <c r="G70" s="19" t="s">
        <v>423</v>
      </c>
      <c r="H70" s="22" t="s">
        <v>19</v>
      </c>
    </row>
    <row r="71" spans="1:8" hidden="1" x14ac:dyDescent="0.25">
      <c r="A71" s="17">
        <v>43371</v>
      </c>
      <c r="B71" s="18" t="s">
        <v>431</v>
      </c>
      <c r="C71" s="19" t="s">
        <v>432</v>
      </c>
      <c r="D71" s="24"/>
      <c r="E71" s="20">
        <v>3755</v>
      </c>
      <c r="F71" s="21" t="s">
        <v>21</v>
      </c>
      <c r="G71" s="19" t="s">
        <v>433</v>
      </c>
      <c r="H71" s="22" t="s">
        <v>19</v>
      </c>
    </row>
    <row r="72" spans="1:8" hidden="1" x14ac:dyDescent="0.25">
      <c r="A72" s="17">
        <v>43371</v>
      </c>
      <c r="B72" s="18" t="s">
        <v>434</v>
      </c>
      <c r="C72" s="19" t="s">
        <v>435</v>
      </c>
      <c r="D72" s="24"/>
      <c r="E72" s="20">
        <v>30</v>
      </c>
      <c r="F72" s="21" t="s">
        <v>3</v>
      </c>
      <c r="G72" s="19" t="s">
        <v>313</v>
      </c>
      <c r="H72" s="22" t="s">
        <v>19</v>
      </c>
    </row>
    <row r="73" spans="1:8" hidden="1" x14ac:dyDescent="0.25">
      <c r="A73" s="17">
        <v>43374</v>
      </c>
      <c r="B73" s="31"/>
      <c r="C73" s="19" t="s">
        <v>42</v>
      </c>
      <c r="D73" s="24">
        <v>5000</v>
      </c>
      <c r="E73" s="20"/>
      <c r="F73" s="21" t="s">
        <v>18</v>
      </c>
      <c r="G73" s="19"/>
      <c r="H73" s="22" t="s">
        <v>20</v>
      </c>
    </row>
    <row r="74" spans="1:8" hidden="1" x14ac:dyDescent="0.25">
      <c r="A74" s="17">
        <v>43374</v>
      </c>
      <c r="B74" s="18" t="s">
        <v>436</v>
      </c>
      <c r="C74" s="19" t="s">
        <v>437</v>
      </c>
      <c r="D74" s="24"/>
      <c r="E74" s="20">
        <v>471</v>
      </c>
      <c r="F74" s="21" t="s">
        <v>21</v>
      </c>
      <c r="G74" s="19" t="s">
        <v>326</v>
      </c>
      <c r="H74" s="22" t="s">
        <v>19</v>
      </c>
    </row>
    <row r="75" spans="1:8" hidden="1" x14ac:dyDescent="0.25">
      <c r="A75" s="17">
        <v>43374</v>
      </c>
      <c r="B75" s="18" t="s">
        <v>438</v>
      </c>
      <c r="C75" s="19" t="s">
        <v>439</v>
      </c>
      <c r="D75" s="24"/>
      <c r="E75" s="20">
        <v>3240</v>
      </c>
      <c r="F75" s="21" t="s">
        <v>21</v>
      </c>
      <c r="G75" s="19" t="s">
        <v>65</v>
      </c>
      <c r="H75" s="22" t="s">
        <v>19</v>
      </c>
    </row>
    <row r="76" spans="1:8" hidden="1" x14ac:dyDescent="0.25">
      <c r="A76" s="17">
        <v>43375</v>
      </c>
      <c r="B76" s="18" t="s">
        <v>440</v>
      </c>
      <c r="C76" s="19" t="s">
        <v>407</v>
      </c>
      <c r="D76" s="24"/>
      <c r="E76" s="20">
        <v>882</v>
      </c>
      <c r="F76" s="21" t="s">
        <v>21</v>
      </c>
      <c r="G76" s="19" t="s">
        <v>423</v>
      </c>
      <c r="H76" s="22" t="s">
        <v>19</v>
      </c>
    </row>
    <row r="77" spans="1:8" hidden="1" x14ac:dyDescent="0.25">
      <c r="A77" s="17">
        <v>43375</v>
      </c>
      <c r="B77" s="18" t="s">
        <v>441</v>
      </c>
      <c r="C77" s="19" t="s">
        <v>328</v>
      </c>
      <c r="D77" s="24"/>
      <c r="E77" s="20">
        <v>486</v>
      </c>
      <c r="F77" s="21" t="s">
        <v>21</v>
      </c>
      <c r="G77" s="19" t="s">
        <v>269</v>
      </c>
      <c r="H77" s="22" t="s">
        <v>19</v>
      </c>
    </row>
    <row r="78" spans="1:8" hidden="1" x14ac:dyDescent="0.25">
      <c r="A78" s="17">
        <v>43375</v>
      </c>
      <c r="B78" s="18" t="s">
        <v>442</v>
      </c>
      <c r="C78" s="19" t="s">
        <v>239</v>
      </c>
      <c r="D78" s="24"/>
      <c r="E78" s="20">
        <v>361</v>
      </c>
      <c r="F78" s="21" t="s">
        <v>2</v>
      </c>
      <c r="G78" s="19" t="s">
        <v>56</v>
      </c>
      <c r="H78" s="22" t="s">
        <v>19</v>
      </c>
    </row>
    <row r="79" spans="1:8" hidden="1" x14ac:dyDescent="0.25">
      <c r="A79" s="17">
        <v>43381</v>
      </c>
      <c r="B79" s="18" t="s">
        <v>443</v>
      </c>
      <c r="C79" s="19" t="s">
        <v>444</v>
      </c>
      <c r="D79" s="24"/>
      <c r="E79" s="20">
        <v>3000</v>
      </c>
      <c r="F79" s="21" t="s">
        <v>21</v>
      </c>
      <c r="G79" s="19" t="s">
        <v>323</v>
      </c>
      <c r="H79" s="22" t="s">
        <v>19</v>
      </c>
    </row>
    <row r="80" spans="1:8" hidden="1" x14ac:dyDescent="0.25">
      <c r="A80" s="17">
        <v>43387</v>
      </c>
      <c r="B80" s="31"/>
      <c r="C80" s="19" t="s">
        <v>42</v>
      </c>
      <c r="D80" s="24">
        <v>5000</v>
      </c>
      <c r="E80" s="20"/>
      <c r="F80" s="21" t="s">
        <v>18</v>
      </c>
      <c r="G80" s="19"/>
      <c r="H80" s="22" t="s">
        <v>20</v>
      </c>
    </row>
    <row r="81" spans="1:8" hidden="1" x14ac:dyDescent="0.25">
      <c r="A81" s="17">
        <v>43395</v>
      </c>
      <c r="B81" s="18" t="s">
        <v>445</v>
      </c>
      <c r="C81" s="19" t="s">
        <v>411</v>
      </c>
      <c r="D81" s="24"/>
      <c r="E81" s="20">
        <v>398</v>
      </c>
      <c r="F81" s="21" t="s">
        <v>21</v>
      </c>
      <c r="G81" s="19" t="s">
        <v>412</v>
      </c>
      <c r="H81" s="22" t="s">
        <v>19</v>
      </c>
    </row>
    <row r="82" spans="1:8" hidden="1" x14ac:dyDescent="0.25">
      <c r="A82" s="17">
        <v>43396</v>
      </c>
      <c r="B82" s="18" t="s">
        <v>446</v>
      </c>
      <c r="C82" s="19" t="s">
        <v>447</v>
      </c>
      <c r="D82" s="24"/>
      <c r="E82" s="20">
        <v>1538</v>
      </c>
      <c r="F82" s="21" t="s">
        <v>21</v>
      </c>
      <c r="G82" s="19" t="s">
        <v>423</v>
      </c>
      <c r="H82" s="22" t="s">
        <v>19</v>
      </c>
    </row>
    <row r="83" spans="1:8" hidden="1" x14ac:dyDescent="0.25">
      <c r="A83" s="17">
        <v>43384</v>
      </c>
      <c r="B83" s="18" t="s">
        <v>448</v>
      </c>
      <c r="C83" s="19" t="s">
        <v>295</v>
      </c>
      <c r="D83" s="24"/>
      <c r="E83" s="20">
        <v>120</v>
      </c>
      <c r="F83" s="21" t="s">
        <v>2</v>
      </c>
      <c r="G83" s="19" t="s">
        <v>56</v>
      </c>
      <c r="H83" s="22" t="s">
        <v>19</v>
      </c>
    </row>
    <row r="84" spans="1:8" hidden="1" x14ac:dyDescent="0.25">
      <c r="A84" s="17">
        <v>43383</v>
      </c>
      <c r="B84" s="18" t="s">
        <v>449</v>
      </c>
      <c r="C84" s="19" t="s">
        <v>450</v>
      </c>
      <c r="D84" s="24"/>
      <c r="E84" s="20">
        <v>483</v>
      </c>
      <c r="F84" s="21" t="s">
        <v>5</v>
      </c>
      <c r="G84" s="19" t="s">
        <v>269</v>
      </c>
      <c r="H84" s="22" t="s">
        <v>19</v>
      </c>
    </row>
    <row r="85" spans="1:8" ht="23" hidden="1" x14ac:dyDescent="0.25">
      <c r="A85" s="17">
        <v>43404</v>
      </c>
      <c r="B85" s="18" t="s">
        <v>451</v>
      </c>
      <c r="C85" s="19" t="s">
        <v>452</v>
      </c>
      <c r="D85" s="24"/>
      <c r="E85" s="20">
        <v>1900</v>
      </c>
      <c r="F85" s="21" t="s">
        <v>21</v>
      </c>
      <c r="G85" s="19" t="s">
        <v>453</v>
      </c>
      <c r="H85" s="22" t="s">
        <v>19</v>
      </c>
    </row>
    <row r="86" spans="1:8" hidden="1" x14ac:dyDescent="0.25">
      <c r="A86" s="17">
        <v>43404</v>
      </c>
      <c r="B86" s="31"/>
      <c r="C86" s="19" t="s">
        <v>42</v>
      </c>
      <c r="D86" s="24">
        <v>5000</v>
      </c>
      <c r="E86" s="20"/>
      <c r="F86" s="21" t="s">
        <v>18</v>
      </c>
      <c r="G86" s="19"/>
      <c r="H86" s="22" t="s">
        <v>20</v>
      </c>
    </row>
    <row r="87" spans="1:8" x14ac:dyDescent="0.25">
      <c r="A87" s="17">
        <v>43404</v>
      </c>
      <c r="B87" s="18" t="s">
        <v>454</v>
      </c>
      <c r="C87" s="19" t="s">
        <v>455</v>
      </c>
      <c r="D87" s="24"/>
      <c r="E87" s="20">
        <v>103</v>
      </c>
      <c r="F87" s="21" t="s">
        <v>21</v>
      </c>
      <c r="G87" s="19" t="s">
        <v>152</v>
      </c>
      <c r="H87" s="22" t="s">
        <v>19</v>
      </c>
    </row>
    <row r="88" spans="1:8" hidden="1" x14ac:dyDescent="0.25">
      <c r="A88" s="17">
        <v>43406</v>
      </c>
      <c r="B88" s="18" t="s">
        <v>456</v>
      </c>
      <c r="C88" s="19" t="s">
        <v>457</v>
      </c>
      <c r="D88" s="24"/>
      <c r="E88" s="20">
        <v>795</v>
      </c>
      <c r="F88" s="21" t="s">
        <v>21</v>
      </c>
      <c r="G88" s="19" t="s">
        <v>458</v>
      </c>
      <c r="H88" s="22" t="s">
        <v>19</v>
      </c>
    </row>
    <row r="89" spans="1:8" hidden="1" x14ac:dyDescent="0.25">
      <c r="A89" s="17">
        <v>43411</v>
      </c>
      <c r="B89" s="18" t="s">
        <v>459</v>
      </c>
      <c r="C89" s="19" t="s">
        <v>444</v>
      </c>
      <c r="D89" s="24"/>
      <c r="E89" s="20">
        <v>3000</v>
      </c>
      <c r="F89" s="21" t="s">
        <v>21</v>
      </c>
      <c r="G89" s="19" t="s">
        <v>323</v>
      </c>
      <c r="H89" s="22" t="s">
        <v>19</v>
      </c>
    </row>
    <row r="90" spans="1:8" hidden="1" x14ac:dyDescent="0.25">
      <c r="A90" s="17">
        <v>43411</v>
      </c>
      <c r="B90" s="18" t="s">
        <v>460</v>
      </c>
      <c r="C90" s="19" t="s">
        <v>295</v>
      </c>
      <c r="D90" s="24"/>
      <c r="E90" s="20">
        <v>1324</v>
      </c>
      <c r="F90" s="21" t="s">
        <v>21</v>
      </c>
      <c r="G90" s="19" t="s">
        <v>56</v>
      </c>
      <c r="H90" s="22" t="s">
        <v>19</v>
      </c>
    </row>
    <row r="91" spans="1:8" hidden="1" x14ac:dyDescent="0.25">
      <c r="A91" s="17">
        <v>43412</v>
      </c>
      <c r="B91" s="18" t="s">
        <v>461</v>
      </c>
      <c r="C91" s="19" t="s">
        <v>462</v>
      </c>
      <c r="D91" s="24"/>
      <c r="E91" s="20">
        <v>2264</v>
      </c>
      <c r="F91" s="21" t="s">
        <v>21</v>
      </c>
      <c r="G91" s="19" t="s">
        <v>463</v>
      </c>
      <c r="H91" s="22" t="s">
        <v>19</v>
      </c>
    </row>
    <row r="92" spans="1:8" hidden="1" x14ac:dyDescent="0.25">
      <c r="A92" s="17">
        <v>43414</v>
      </c>
      <c r="B92" s="18" t="s">
        <v>464</v>
      </c>
      <c r="C92" s="19" t="s">
        <v>295</v>
      </c>
      <c r="D92" s="24"/>
      <c r="E92" s="20">
        <v>241</v>
      </c>
      <c r="F92" s="21" t="s">
        <v>21</v>
      </c>
      <c r="G92" s="19" t="s">
        <v>56</v>
      </c>
      <c r="H92" s="22" t="s">
        <v>19</v>
      </c>
    </row>
    <row r="93" spans="1:8" hidden="1" x14ac:dyDescent="0.25">
      <c r="A93" s="17">
        <v>43414</v>
      </c>
      <c r="B93" s="31"/>
      <c r="C93" s="19" t="s">
        <v>42</v>
      </c>
      <c r="D93" s="24">
        <v>7000</v>
      </c>
      <c r="E93" s="20"/>
      <c r="F93" s="21" t="s">
        <v>18</v>
      </c>
      <c r="G93" s="19"/>
      <c r="H93" s="22" t="s">
        <v>20</v>
      </c>
    </row>
    <row r="94" spans="1:8" hidden="1" x14ac:dyDescent="0.25">
      <c r="A94" s="17">
        <v>43419</v>
      </c>
      <c r="B94" s="31"/>
      <c r="C94" s="19" t="s">
        <v>42</v>
      </c>
      <c r="D94" s="24">
        <v>2000</v>
      </c>
      <c r="E94" s="20"/>
      <c r="F94" s="21" t="s">
        <v>18</v>
      </c>
      <c r="G94" s="19"/>
      <c r="H94" s="22" t="s">
        <v>20</v>
      </c>
    </row>
    <row r="95" spans="1:8" hidden="1" x14ac:dyDescent="0.25">
      <c r="A95" s="17">
        <v>43420</v>
      </c>
      <c r="B95" s="18" t="s">
        <v>465</v>
      </c>
      <c r="C95" s="19" t="s">
        <v>466</v>
      </c>
      <c r="D95" s="24"/>
      <c r="E95" s="20">
        <v>1592</v>
      </c>
      <c r="F95" s="21" t="s">
        <v>370</v>
      </c>
      <c r="G95" s="19" t="s">
        <v>423</v>
      </c>
      <c r="H95" s="22" t="s">
        <v>19</v>
      </c>
    </row>
    <row r="96" spans="1:8" ht="23" hidden="1" x14ac:dyDescent="0.25">
      <c r="A96" s="17">
        <v>43423</v>
      </c>
      <c r="B96" s="18" t="s">
        <v>467</v>
      </c>
      <c r="C96" s="19" t="s">
        <v>468</v>
      </c>
      <c r="D96" s="24"/>
      <c r="E96" s="20">
        <v>831</v>
      </c>
      <c r="F96" s="21" t="s">
        <v>21</v>
      </c>
      <c r="G96" s="19" t="s">
        <v>469</v>
      </c>
      <c r="H96" s="22" t="s">
        <v>19</v>
      </c>
    </row>
    <row r="97" spans="1:8" hidden="1" x14ac:dyDescent="0.25">
      <c r="A97" s="17">
        <v>43430</v>
      </c>
      <c r="B97" s="18" t="s">
        <v>470</v>
      </c>
      <c r="C97" s="19" t="s">
        <v>471</v>
      </c>
      <c r="D97" s="24"/>
      <c r="E97" s="20">
        <v>507</v>
      </c>
      <c r="F97" s="21" t="s">
        <v>268</v>
      </c>
      <c r="G97" s="19" t="s">
        <v>269</v>
      </c>
      <c r="H97" s="22" t="s">
        <v>19</v>
      </c>
    </row>
    <row r="98" spans="1:8" hidden="1" x14ac:dyDescent="0.25">
      <c r="A98" s="17">
        <v>43431</v>
      </c>
      <c r="B98" s="18" t="s">
        <v>472</v>
      </c>
      <c r="C98" s="19" t="s">
        <v>473</v>
      </c>
      <c r="D98" s="24"/>
      <c r="E98" s="20">
        <v>417</v>
      </c>
      <c r="F98" s="21" t="s">
        <v>21</v>
      </c>
      <c r="G98" s="19" t="s">
        <v>313</v>
      </c>
      <c r="H98" s="22" t="s">
        <v>19</v>
      </c>
    </row>
    <row r="99" spans="1:8" hidden="1" x14ac:dyDescent="0.25">
      <c r="A99" s="17">
        <v>43437</v>
      </c>
      <c r="B99" s="31"/>
      <c r="C99" s="19" t="s">
        <v>42</v>
      </c>
      <c r="D99" s="24">
        <v>8000</v>
      </c>
      <c r="E99" s="20"/>
      <c r="F99" s="21" t="s">
        <v>18</v>
      </c>
      <c r="G99" s="19"/>
      <c r="H99" s="22" t="s">
        <v>20</v>
      </c>
    </row>
    <row r="100" spans="1:8" hidden="1" x14ac:dyDescent="0.25">
      <c r="A100" s="17">
        <v>43437</v>
      </c>
      <c r="B100" s="18" t="s">
        <v>474</v>
      </c>
      <c r="C100" s="19" t="s">
        <v>475</v>
      </c>
      <c r="D100" s="24"/>
      <c r="E100" s="20">
        <v>1765</v>
      </c>
      <c r="F100" s="21" t="s">
        <v>6</v>
      </c>
      <c r="G100" s="19" t="s">
        <v>476</v>
      </c>
      <c r="H100" s="22" t="s">
        <v>19</v>
      </c>
    </row>
    <row r="101" spans="1:8" hidden="1" x14ac:dyDescent="0.25">
      <c r="A101" s="17">
        <v>43437</v>
      </c>
      <c r="B101" s="18" t="s">
        <v>477</v>
      </c>
      <c r="C101" s="19" t="s">
        <v>362</v>
      </c>
      <c r="D101" s="24"/>
      <c r="E101" s="20">
        <v>1860</v>
      </c>
      <c r="F101" s="21" t="s">
        <v>21</v>
      </c>
      <c r="G101" s="19" t="s">
        <v>363</v>
      </c>
      <c r="H101" s="22" t="s">
        <v>19</v>
      </c>
    </row>
    <row r="102" spans="1:8" hidden="1" x14ac:dyDescent="0.25">
      <c r="A102" s="17">
        <v>43438</v>
      </c>
      <c r="B102" s="18" t="s">
        <v>478</v>
      </c>
      <c r="C102" s="19" t="s">
        <v>444</v>
      </c>
      <c r="D102" s="24"/>
      <c r="E102" s="20">
        <v>3000</v>
      </c>
      <c r="F102" s="21" t="s">
        <v>21</v>
      </c>
      <c r="G102" s="19" t="s">
        <v>323</v>
      </c>
      <c r="H102" s="22" t="s">
        <v>19</v>
      </c>
    </row>
    <row r="103" spans="1:8" hidden="1" x14ac:dyDescent="0.25">
      <c r="A103" s="17">
        <v>43446</v>
      </c>
      <c r="B103" s="18" t="s">
        <v>479</v>
      </c>
      <c r="C103" s="19" t="s">
        <v>480</v>
      </c>
      <c r="D103" s="24"/>
      <c r="E103" s="20">
        <v>928</v>
      </c>
      <c r="F103" s="21" t="s">
        <v>370</v>
      </c>
      <c r="G103" s="19" t="s">
        <v>481</v>
      </c>
      <c r="H103" s="22" t="s">
        <v>19</v>
      </c>
    </row>
    <row r="104" spans="1:8" hidden="1" x14ac:dyDescent="0.25">
      <c r="A104" s="17">
        <v>43446</v>
      </c>
      <c r="B104" s="18" t="s">
        <v>482</v>
      </c>
      <c r="C104" s="19" t="s">
        <v>295</v>
      </c>
      <c r="D104" s="24"/>
      <c r="E104" s="20">
        <v>321</v>
      </c>
      <c r="F104" s="21" t="s">
        <v>21</v>
      </c>
      <c r="G104" s="19" t="s">
        <v>56</v>
      </c>
      <c r="H104" s="22" t="s">
        <v>19</v>
      </c>
    </row>
    <row r="105" spans="1:8" hidden="1" x14ac:dyDescent="0.25">
      <c r="A105" s="17">
        <v>43460</v>
      </c>
      <c r="B105" s="18" t="s">
        <v>483</v>
      </c>
      <c r="C105" s="19" t="s">
        <v>480</v>
      </c>
      <c r="D105" s="24"/>
      <c r="E105" s="20">
        <v>1535</v>
      </c>
      <c r="F105" s="21" t="s">
        <v>370</v>
      </c>
      <c r="G105" s="19" t="s">
        <v>481</v>
      </c>
      <c r="H105" s="22" t="s">
        <v>19</v>
      </c>
    </row>
    <row r="106" spans="1:8" ht="23" hidden="1" x14ac:dyDescent="0.25">
      <c r="A106" s="17">
        <v>43462</v>
      </c>
      <c r="B106" s="18" t="s">
        <v>484</v>
      </c>
      <c r="C106" s="19" t="s">
        <v>485</v>
      </c>
      <c r="D106" s="24"/>
      <c r="E106" s="20">
        <v>3804</v>
      </c>
      <c r="F106" s="21" t="s">
        <v>370</v>
      </c>
      <c r="G106" s="19" t="s">
        <v>486</v>
      </c>
      <c r="H106" s="22" t="s">
        <v>19</v>
      </c>
    </row>
    <row r="107" spans="1:8" ht="23" hidden="1" x14ac:dyDescent="0.25">
      <c r="A107" s="17">
        <v>43468</v>
      </c>
      <c r="B107" s="18" t="s">
        <v>487</v>
      </c>
      <c r="C107" s="19" t="s">
        <v>488</v>
      </c>
      <c r="D107" s="24"/>
      <c r="E107" s="20">
        <v>1261</v>
      </c>
      <c r="F107" s="21" t="s">
        <v>21</v>
      </c>
      <c r="G107" s="19" t="s">
        <v>489</v>
      </c>
      <c r="H107" s="22" t="s">
        <v>19</v>
      </c>
    </row>
    <row r="108" spans="1:8" hidden="1" x14ac:dyDescent="0.25">
      <c r="A108" s="17">
        <v>43468</v>
      </c>
      <c r="B108" s="18" t="s">
        <v>490</v>
      </c>
      <c r="C108" s="19" t="s">
        <v>444</v>
      </c>
      <c r="D108" s="24"/>
      <c r="E108" s="20">
        <v>3000</v>
      </c>
      <c r="F108" s="21" t="s">
        <v>21</v>
      </c>
      <c r="G108" s="19" t="s">
        <v>323</v>
      </c>
      <c r="H108" s="22" t="s">
        <v>19</v>
      </c>
    </row>
    <row r="109" spans="1:8" hidden="1" x14ac:dyDescent="0.25">
      <c r="A109" s="17">
        <v>43469</v>
      </c>
      <c r="B109" s="18" t="s">
        <v>491</v>
      </c>
      <c r="C109" s="19" t="s">
        <v>492</v>
      </c>
      <c r="D109" s="24"/>
      <c r="E109" s="20">
        <v>960</v>
      </c>
      <c r="F109" s="21" t="s">
        <v>21</v>
      </c>
      <c r="G109" s="19" t="s">
        <v>363</v>
      </c>
      <c r="H109" s="22" t="s">
        <v>19</v>
      </c>
    </row>
    <row r="110" spans="1:8" hidden="1" x14ac:dyDescent="0.25">
      <c r="A110" s="17">
        <v>43469</v>
      </c>
      <c r="B110" s="31"/>
      <c r="C110" s="19" t="s">
        <v>42</v>
      </c>
      <c r="D110" s="24">
        <v>15000</v>
      </c>
      <c r="E110" s="20"/>
      <c r="F110" s="21" t="s">
        <v>18</v>
      </c>
      <c r="G110" s="19"/>
      <c r="H110" s="22" t="s">
        <v>20</v>
      </c>
    </row>
    <row r="111" spans="1:8" hidden="1" x14ac:dyDescent="0.25">
      <c r="A111" s="17">
        <v>43469</v>
      </c>
      <c r="B111" s="18" t="s">
        <v>493</v>
      </c>
      <c r="C111" s="19" t="s">
        <v>494</v>
      </c>
      <c r="D111" s="24"/>
      <c r="E111" s="20">
        <v>849</v>
      </c>
      <c r="F111" s="21" t="s">
        <v>21</v>
      </c>
      <c r="G111" s="19" t="s">
        <v>495</v>
      </c>
      <c r="H111" s="22" t="s">
        <v>19</v>
      </c>
    </row>
    <row r="112" spans="1:8" hidden="1" x14ac:dyDescent="0.25">
      <c r="A112" s="17">
        <v>43469</v>
      </c>
      <c r="B112" s="18" t="s">
        <v>496</v>
      </c>
      <c r="C112" s="19" t="s">
        <v>295</v>
      </c>
      <c r="D112" s="24"/>
      <c r="E112" s="20">
        <v>667</v>
      </c>
      <c r="F112" s="21" t="s">
        <v>21</v>
      </c>
      <c r="G112" s="19" t="s">
        <v>56</v>
      </c>
      <c r="H112" s="22" t="s">
        <v>19</v>
      </c>
    </row>
    <row r="113" spans="1:8" hidden="1" x14ac:dyDescent="0.25">
      <c r="A113" s="17">
        <v>43472</v>
      </c>
      <c r="B113" s="18" t="s">
        <v>497</v>
      </c>
      <c r="C113" s="19" t="s">
        <v>498</v>
      </c>
      <c r="D113" s="24"/>
      <c r="E113" s="20">
        <v>3635</v>
      </c>
      <c r="F113" s="21" t="s">
        <v>21</v>
      </c>
      <c r="G113" s="19" t="s">
        <v>499</v>
      </c>
      <c r="H113" s="22" t="s">
        <v>19</v>
      </c>
    </row>
    <row r="114" spans="1:8" hidden="1" x14ac:dyDescent="0.25">
      <c r="A114" s="17">
        <v>43473</v>
      </c>
      <c r="B114" s="18" t="s">
        <v>500</v>
      </c>
      <c r="C114" s="19" t="s">
        <v>501</v>
      </c>
      <c r="D114" s="24"/>
      <c r="E114" s="20">
        <v>471</v>
      </c>
      <c r="F114" s="21" t="s">
        <v>21</v>
      </c>
      <c r="G114" s="19" t="s">
        <v>326</v>
      </c>
      <c r="H114" s="22" t="s">
        <v>19</v>
      </c>
    </row>
    <row r="115" spans="1:8" hidden="1" x14ac:dyDescent="0.25">
      <c r="A115" s="17">
        <v>43477</v>
      </c>
      <c r="B115" s="31"/>
      <c r="C115" s="19" t="s">
        <v>42</v>
      </c>
      <c r="D115" s="24">
        <v>5000</v>
      </c>
      <c r="E115" s="20"/>
      <c r="F115" s="21" t="s">
        <v>18</v>
      </c>
      <c r="G115" s="19"/>
      <c r="H115" s="22" t="s">
        <v>20</v>
      </c>
    </row>
    <row r="116" spans="1:8" hidden="1" x14ac:dyDescent="0.25">
      <c r="A116" s="17">
        <v>43479</v>
      </c>
      <c r="B116" s="18" t="s">
        <v>502</v>
      </c>
      <c r="C116" s="19" t="s">
        <v>466</v>
      </c>
      <c r="D116" s="24"/>
      <c r="E116" s="20">
        <v>570</v>
      </c>
      <c r="F116" s="21" t="s">
        <v>370</v>
      </c>
      <c r="G116" s="19" t="s">
        <v>46</v>
      </c>
      <c r="H116" s="22" t="s">
        <v>19</v>
      </c>
    </row>
    <row r="117" spans="1:8" hidden="1" x14ac:dyDescent="0.25">
      <c r="A117" s="17">
        <v>43480</v>
      </c>
      <c r="B117" s="18" t="s">
        <v>503</v>
      </c>
      <c r="C117" s="19" t="s">
        <v>504</v>
      </c>
      <c r="D117" s="24"/>
      <c r="E117" s="20">
        <v>259</v>
      </c>
      <c r="F117" s="21" t="s">
        <v>6</v>
      </c>
      <c r="G117" s="19" t="s">
        <v>505</v>
      </c>
      <c r="H117" s="22" t="s">
        <v>19</v>
      </c>
    </row>
    <row r="118" spans="1:8" hidden="1" x14ac:dyDescent="0.25">
      <c r="A118" s="17">
        <v>43487</v>
      </c>
      <c r="B118" s="31"/>
      <c r="C118" s="19" t="s">
        <v>42</v>
      </c>
      <c r="D118" s="24">
        <v>1000</v>
      </c>
      <c r="E118" s="20"/>
      <c r="F118" s="21" t="s">
        <v>18</v>
      </c>
      <c r="G118" s="19"/>
      <c r="H118" s="22" t="s">
        <v>20</v>
      </c>
    </row>
    <row r="119" spans="1:8" hidden="1" x14ac:dyDescent="0.25">
      <c r="A119" s="17">
        <v>43488</v>
      </c>
      <c r="B119" s="31"/>
      <c r="C119" s="19" t="s">
        <v>42</v>
      </c>
      <c r="D119" s="24">
        <v>4000</v>
      </c>
      <c r="E119" s="20"/>
      <c r="F119" s="21" t="s">
        <v>18</v>
      </c>
      <c r="G119" s="19"/>
      <c r="H119" s="22" t="s">
        <v>20</v>
      </c>
    </row>
    <row r="120" spans="1:8" hidden="1" x14ac:dyDescent="0.25">
      <c r="A120" s="17">
        <v>43490</v>
      </c>
      <c r="B120" s="31"/>
      <c r="C120" s="19" t="s">
        <v>42</v>
      </c>
      <c r="D120" s="24">
        <v>10000</v>
      </c>
      <c r="E120" s="20"/>
      <c r="F120" s="21" t="s">
        <v>18</v>
      </c>
      <c r="G120" s="19"/>
      <c r="H120" s="22" t="s">
        <v>20</v>
      </c>
    </row>
    <row r="121" spans="1:8" hidden="1" x14ac:dyDescent="0.25">
      <c r="A121" s="17">
        <v>43494</v>
      </c>
      <c r="B121" s="31"/>
      <c r="C121" s="19" t="s">
        <v>42</v>
      </c>
      <c r="D121" s="24">
        <v>5000</v>
      </c>
      <c r="E121" s="20"/>
      <c r="F121" s="21" t="s">
        <v>18</v>
      </c>
      <c r="G121" s="19"/>
      <c r="H121" s="22" t="s">
        <v>20</v>
      </c>
    </row>
    <row r="122" spans="1:8" hidden="1" x14ac:dyDescent="0.25">
      <c r="A122" s="17">
        <v>43500</v>
      </c>
      <c r="B122" s="18" t="s">
        <v>506</v>
      </c>
      <c r="C122" s="19" t="s">
        <v>507</v>
      </c>
      <c r="D122" s="24"/>
      <c r="E122" s="20">
        <v>1095</v>
      </c>
      <c r="F122" s="21" t="s">
        <v>21</v>
      </c>
      <c r="G122" s="19" t="s">
        <v>508</v>
      </c>
      <c r="H122" s="22" t="s">
        <v>19</v>
      </c>
    </row>
    <row r="123" spans="1:8" ht="23" x14ac:dyDescent="0.25">
      <c r="A123" s="17">
        <v>43500</v>
      </c>
      <c r="B123" s="18" t="s">
        <v>509</v>
      </c>
      <c r="C123" s="19" t="s">
        <v>510</v>
      </c>
      <c r="D123" s="24"/>
      <c r="E123" s="20">
        <v>4440</v>
      </c>
      <c r="F123" s="21" t="s">
        <v>6</v>
      </c>
      <c r="G123" s="19" t="s">
        <v>511</v>
      </c>
      <c r="H123" s="22" t="s">
        <v>19</v>
      </c>
    </row>
    <row r="124" spans="1:8" hidden="1" x14ac:dyDescent="0.25">
      <c r="A124" s="17">
        <v>43500</v>
      </c>
      <c r="B124" s="18" t="s">
        <v>512</v>
      </c>
      <c r="C124" s="19" t="s">
        <v>513</v>
      </c>
      <c r="D124" s="24"/>
      <c r="E124" s="20">
        <v>3545</v>
      </c>
      <c r="F124" s="21" t="s">
        <v>514</v>
      </c>
      <c r="G124" s="19" t="s">
        <v>299</v>
      </c>
      <c r="H124" s="22" t="s">
        <v>19</v>
      </c>
    </row>
    <row r="125" spans="1:8" hidden="1" x14ac:dyDescent="0.25">
      <c r="A125" s="17">
        <v>43502</v>
      </c>
      <c r="B125" s="18" t="s">
        <v>515</v>
      </c>
      <c r="C125" s="19" t="s">
        <v>516</v>
      </c>
      <c r="D125" s="24"/>
      <c r="E125" s="20">
        <v>400</v>
      </c>
      <c r="F125" s="21" t="s">
        <v>268</v>
      </c>
      <c r="G125" s="19" t="s">
        <v>517</v>
      </c>
      <c r="H125" s="22" t="s">
        <v>19</v>
      </c>
    </row>
    <row r="126" spans="1:8" hidden="1" x14ac:dyDescent="0.25">
      <c r="A126" s="17">
        <v>43502</v>
      </c>
      <c r="B126" s="18" t="s">
        <v>518</v>
      </c>
      <c r="C126" s="19" t="s">
        <v>519</v>
      </c>
      <c r="D126" s="24"/>
      <c r="E126" s="20">
        <v>640</v>
      </c>
      <c r="F126" s="21" t="s">
        <v>6</v>
      </c>
      <c r="G126" s="19" t="s">
        <v>423</v>
      </c>
      <c r="H126" s="22" t="s">
        <v>19</v>
      </c>
    </row>
    <row r="127" spans="1:8" hidden="1" x14ac:dyDescent="0.25">
      <c r="A127" s="17">
        <v>43502</v>
      </c>
      <c r="B127" s="18" t="s">
        <v>520</v>
      </c>
      <c r="C127" s="19" t="s">
        <v>521</v>
      </c>
      <c r="D127" s="24"/>
      <c r="E127" s="20">
        <v>1077</v>
      </c>
      <c r="F127" s="21" t="s">
        <v>514</v>
      </c>
      <c r="G127" s="19" t="s">
        <v>522</v>
      </c>
      <c r="H127" s="22" t="s">
        <v>19</v>
      </c>
    </row>
    <row r="128" spans="1:8" hidden="1" x14ac:dyDescent="0.25">
      <c r="A128" s="17">
        <v>43502</v>
      </c>
      <c r="B128" s="18" t="s">
        <v>523</v>
      </c>
      <c r="C128" s="19" t="s">
        <v>524</v>
      </c>
      <c r="D128" s="24"/>
      <c r="E128" s="20">
        <v>530</v>
      </c>
      <c r="F128" s="21" t="s">
        <v>514</v>
      </c>
      <c r="G128" s="19" t="s">
        <v>423</v>
      </c>
      <c r="H128" s="22" t="s">
        <v>19</v>
      </c>
    </row>
    <row r="129" spans="1:8" hidden="1" x14ac:dyDescent="0.25">
      <c r="A129" s="17">
        <v>43502</v>
      </c>
      <c r="B129" s="18" t="s">
        <v>523</v>
      </c>
      <c r="C129" s="19" t="s">
        <v>295</v>
      </c>
      <c r="D129" s="24"/>
      <c r="E129" s="20">
        <v>361</v>
      </c>
      <c r="F129" s="21" t="s">
        <v>21</v>
      </c>
      <c r="G129" s="19" t="s">
        <v>56</v>
      </c>
      <c r="H129" s="22" t="s">
        <v>19</v>
      </c>
    </row>
    <row r="130" spans="1:8" hidden="1" x14ac:dyDescent="0.25">
      <c r="A130" s="17">
        <v>43502</v>
      </c>
      <c r="B130" s="18" t="s">
        <v>525</v>
      </c>
      <c r="C130" s="19" t="s">
        <v>526</v>
      </c>
      <c r="D130" s="24"/>
      <c r="E130" s="20">
        <v>260</v>
      </c>
      <c r="F130" s="21" t="s">
        <v>514</v>
      </c>
      <c r="G130" s="19" t="s">
        <v>527</v>
      </c>
      <c r="H130" s="22" t="s">
        <v>19</v>
      </c>
    </row>
    <row r="131" spans="1:8" hidden="1" x14ac:dyDescent="0.25">
      <c r="A131" s="17">
        <v>43502</v>
      </c>
      <c r="B131" s="18" t="s">
        <v>528</v>
      </c>
      <c r="C131" s="19" t="s">
        <v>529</v>
      </c>
      <c r="D131" s="24"/>
      <c r="E131" s="20">
        <v>6584</v>
      </c>
      <c r="F131" s="21" t="s">
        <v>530</v>
      </c>
      <c r="G131" s="19" t="s">
        <v>531</v>
      </c>
      <c r="H131" s="22" t="s">
        <v>19</v>
      </c>
    </row>
    <row r="132" spans="1:8" x14ac:dyDescent="0.25">
      <c r="A132" s="17">
        <v>43502</v>
      </c>
      <c r="B132" s="18" t="s">
        <v>532</v>
      </c>
      <c r="C132" s="19" t="s">
        <v>533</v>
      </c>
      <c r="D132" s="24"/>
      <c r="E132" s="20">
        <v>264</v>
      </c>
      <c r="F132" s="21" t="s">
        <v>530</v>
      </c>
      <c r="G132" s="19" t="s">
        <v>152</v>
      </c>
      <c r="H132" s="22" t="s">
        <v>19</v>
      </c>
    </row>
    <row r="133" spans="1:8" hidden="1" x14ac:dyDescent="0.25">
      <c r="A133" s="17">
        <v>43502</v>
      </c>
      <c r="B133" s="18" t="s">
        <v>534</v>
      </c>
      <c r="C133" s="19" t="s">
        <v>75</v>
      </c>
      <c r="D133" s="24"/>
      <c r="E133" s="20">
        <v>400</v>
      </c>
      <c r="F133" s="21"/>
      <c r="G133" s="19" t="s">
        <v>535</v>
      </c>
      <c r="H133" s="22" t="s">
        <v>19</v>
      </c>
    </row>
    <row r="134" spans="1:8" hidden="1" x14ac:dyDescent="0.25">
      <c r="A134" s="17">
        <v>43507</v>
      </c>
      <c r="B134" s="18"/>
      <c r="C134" s="19" t="s">
        <v>42</v>
      </c>
      <c r="D134" s="24">
        <v>10000</v>
      </c>
      <c r="E134" s="20"/>
      <c r="F134" s="21" t="s">
        <v>18</v>
      </c>
      <c r="G134" s="19"/>
      <c r="H134" s="22" t="s">
        <v>20</v>
      </c>
    </row>
    <row r="135" spans="1:8" hidden="1" x14ac:dyDescent="0.25">
      <c r="A135" s="17">
        <v>43507</v>
      </c>
      <c r="B135" s="18" t="s">
        <v>536</v>
      </c>
      <c r="C135" s="19" t="s">
        <v>537</v>
      </c>
      <c r="D135" s="24"/>
      <c r="E135" s="20">
        <v>3200</v>
      </c>
      <c r="F135" s="21"/>
      <c r="G135" s="19" t="s">
        <v>538</v>
      </c>
      <c r="H135" s="22" t="s">
        <v>19</v>
      </c>
    </row>
    <row r="136" spans="1:8" hidden="1" x14ac:dyDescent="0.25">
      <c r="A136" s="17">
        <v>43507</v>
      </c>
      <c r="B136" s="18" t="s">
        <v>539</v>
      </c>
      <c r="C136" s="19" t="s">
        <v>444</v>
      </c>
      <c r="D136" s="24"/>
      <c r="E136" s="20">
        <v>3000</v>
      </c>
      <c r="F136" s="21"/>
      <c r="G136" s="19" t="s">
        <v>323</v>
      </c>
      <c r="H136" s="22" t="s">
        <v>19</v>
      </c>
    </row>
    <row r="137" spans="1:8" hidden="1" x14ac:dyDescent="0.25">
      <c r="A137" s="17">
        <v>43507</v>
      </c>
      <c r="B137" s="18" t="s">
        <v>540</v>
      </c>
      <c r="C137" s="19" t="s">
        <v>541</v>
      </c>
      <c r="D137" s="24"/>
      <c r="E137" s="20">
        <v>780</v>
      </c>
      <c r="F137" s="21"/>
      <c r="G137" s="19" t="s">
        <v>65</v>
      </c>
      <c r="H137" s="22" t="s">
        <v>19</v>
      </c>
    </row>
    <row r="138" spans="1:8" hidden="1" x14ac:dyDescent="0.25">
      <c r="A138" s="17">
        <v>43507</v>
      </c>
      <c r="B138" s="18" t="s">
        <v>542</v>
      </c>
      <c r="C138" s="19" t="s">
        <v>543</v>
      </c>
      <c r="D138" s="24"/>
      <c r="E138" s="20">
        <v>100</v>
      </c>
      <c r="F138" s="21"/>
      <c r="G138" s="19" t="s">
        <v>544</v>
      </c>
      <c r="H138" s="22" t="s">
        <v>19</v>
      </c>
    </row>
    <row r="139" spans="1:8" ht="23" hidden="1" x14ac:dyDescent="0.25">
      <c r="A139" s="17">
        <v>43510</v>
      </c>
      <c r="B139" s="18" t="s">
        <v>545</v>
      </c>
      <c r="C139" s="19" t="s">
        <v>546</v>
      </c>
      <c r="D139" s="24"/>
      <c r="E139" s="20">
        <v>2287</v>
      </c>
      <c r="F139" s="21"/>
      <c r="G139" s="19" t="s">
        <v>499</v>
      </c>
      <c r="H139" s="22" t="s">
        <v>19</v>
      </c>
    </row>
    <row r="140" spans="1:8" hidden="1" x14ac:dyDescent="0.25">
      <c r="A140" s="17">
        <v>43522</v>
      </c>
      <c r="B140" s="18" t="s">
        <v>547</v>
      </c>
      <c r="C140" s="19" t="s">
        <v>548</v>
      </c>
      <c r="D140" s="24"/>
      <c r="E140" s="20">
        <v>4193</v>
      </c>
      <c r="F140" s="21"/>
      <c r="G140" s="19" t="s">
        <v>46</v>
      </c>
      <c r="H140" s="22" t="s">
        <v>19</v>
      </c>
    </row>
    <row r="141" spans="1:8" hidden="1" x14ac:dyDescent="0.25">
      <c r="A141" s="17">
        <v>43522</v>
      </c>
      <c r="B141" s="18" t="s">
        <v>549</v>
      </c>
      <c r="C141" s="19" t="s">
        <v>550</v>
      </c>
      <c r="D141" s="24"/>
      <c r="E141" s="20">
        <v>370</v>
      </c>
      <c r="F141" s="21"/>
      <c r="G141" s="19" t="s">
        <v>551</v>
      </c>
      <c r="H141" s="22" t="s">
        <v>19</v>
      </c>
    </row>
    <row r="142" spans="1:8" hidden="1" x14ac:dyDescent="0.25">
      <c r="A142" s="17">
        <v>43526</v>
      </c>
      <c r="B142" s="18"/>
      <c r="C142" s="19" t="s">
        <v>42</v>
      </c>
      <c r="D142" s="24">
        <v>8000</v>
      </c>
      <c r="E142" s="20"/>
      <c r="F142" s="21" t="s">
        <v>18</v>
      </c>
      <c r="G142" s="19"/>
      <c r="H142" s="22" t="s">
        <v>20</v>
      </c>
    </row>
    <row r="143" spans="1:8" hidden="1" x14ac:dyDescent="0.25">
      <c r="A143" s="17">
        <v>43526</v>
      </c>
      <c r="B143" s="18" t="s">
        <v>552</v>
      </c>
      <c r="C143" s="19" t="s">
        <v>553</v>
      </c>
      <c r="D143" s="24"/>
      <c r="E143" s="20">
        <v>500</v>
      </c>
      <c r="F143" s="21"/>
      <c r="G143" s="19" t="s">
        <v>554</v>
      </c>
      <c r="H143" s="22" t="s">
        <v>19</v>
      </c>
    </row>
    <row r="144" spans="1:8" hidden="1" x14ac:dyDescent="0.25">
      <c r="A144" s="17">
        <v>43526</v>
      </c>
      <c r="B144" s="18" t="s">
        <v>555</v>
      </c>
      <c r="C144" s="19" t="s">
        <v>556</v>
      </c>
      <c r="D144" s="24"/>
      <c r="E144" s="20">
        <v>1125</v>
      </c>
      <c r="F144" s="21" t="s">
        <v>514</v>
      </c>
      <c r="G144" s="19" t="s">
        <v>557</v>
      </c>
      <c r="H144" s="22" t="s">
        <v>19</v>
      </c>
    </row>
    <row r="145" spans="1:8" hidden="1" x14ac:dyDescent="0.25">
      <c r="A145" s="17">
        <v>43528</v>
      </c>
      <c r="B145" s="18" t="s">
        <v>558</v>
      </c>
      <c r="C145" s="19" t="s">
        <v>559</v>
      </c>
      <c r="D145" s="24"/>
      <c r="E145" s="20">
        <v>638</v>
      </c>
      <c r="F145" s="21"/>
      <c r="G145" s="19" t="s">
        <v>326</v>
      </c>
      <c r="H145" s="22" t="s">
        <v>19</v>
      </c>
    </row>
    <row r="146" spans="1:8" hidden="1" x14ac:dyDescent="0.25">
      <c r="A146" s="17">
        <v>43529</v>
      </c>
      <c r="B146" s="18" t="s">
        <v>560</v>
      </c>
      <c r="C146" s="19" t="s">
        <v>561</v>
      </c>
      <c r="D146" s="24"/>
      <c r="E146" s="20">
        <v>1959</v>
      </c>
      <c r="F146" s="21"/>
      <c r="G146" s="19" t="s">
        <v>499</v>
      </c>
      <c r="H146" s="22" t="s">
        <v>19</v>
      </c>
    </row>
    <row r="147" spans="1:8" hidden="1" x14ac:dyDescent="0.25">
      <c r="A147" s="17">
        <v>43529</v>
      </c>
      <c r="B147" s="18" t="s">
        <v>562</v>
      </c>
      <c r="C147" s="19" t="s">
        <v>563</v>
      </c>
      <c r="D147" s="24"/>
      <c r="E147" s="20">
        <v>1204</v>
      </c>
      <c r="F147" s="21"/>
      <c r="G147" s="19" t="s">
        <v>56</v>
      </c>
      <c r="H147" s="22" t="s">
        <v>19</v>
      </c>
    </row>
    <row r="148" spans="1:8" hidden="1" x14ac:dyDescent="0.25">
      <c r="A148" s="17">
        <v>43529</v>
      </c>
      <c r="B148" s="18" t="s">
        <v>564</v>
      </c>
      <c r="C148" s="19" t="s">
        <v>444</v>
      </c>
      <c r="D148" s="24"/>
      <c r="E148" s="20">
        <v>3000</v>
      </c>
      <c r="F148" s="21"/>
      <c r="G148" s="19" t="s">
        <v>323</v>
      </c>
      <c r="H148" s="22" t="s">
        <v>19</v>
      </c>
    </row>
    <row r="149" spans="1:8" hidden="1" x14ac:dyDescent="0.25">
      <c r="A149" s="17">
        <v>43530</v>
      </c>
      <c r="B149" s="18" t="s">
        <v>565</v>
      </c>
      <c r="C149" s="19" t="s">
        <v>566</v>
      </c>
      <c r="D149" s="24"/>
      <c r="E149" s="20">
        <v>1980</v>
      </c>
      <c r="F149" s="21"/>
      <c r="G149" s="19" t="s">
        <v>363</v>
      </c>
      <c r="H149" s="22" t="s">
        <v>19</v>
      </c>
    </row>
    <row r="150" spans="1:8" hidden="1" x14ac:dyDescent="0.25">
      <c r="A150" s="17">
        <v>43530</v>
      </c>
      <c r="B150" s="18" t="s">
        <v>567</v>
      </c>
      <c r="C150" s="19" t="s">
        <v>563</v>
      </c>
      <c r="D150" s="24"/>
      <c r="E150" s="20">
        <v>481</v>
      </c>
      <c r="F150" s="21"/>
      <c r="G150" s="19" t="s">
        <v>56</v>
      </c>
      <c r="H150" s="22" t="s">
        <v>19</v>
      </c>
    </row>
    <row r="151" spans="1:8" hidden="1" x14ac:dyDescent="0.25">
      <c r="A151" s="17">
        <v>43532</v>
      </c>
      <c r="B151" s="18" t="s">
        <v>568</v>
      </c>
      <c r="C151" s="19" t="s">
        <v>563</v>
      </c>
      <c r="D151" s="24"/>
      <c r="E151" s="20">
        <v>120</v>
      </c>
      <c r="F151" s="21"/>
      <c r="G151" s="19" t="s">
        <v>56</v>
      </c>
      <c r="H151" s="22" t="s">
        <v>19</v>
      </c>
    </row>
    <row r="152" spans="1:8" hidden="1" x14ac:dyDescent="0.25">
      <c r="A152" s="17">
        <v>43532</v>
      </c>
      <c r="B152" s="18"/>
      <c r="C152" s="19" t="s">
        <v>42</v>
      </c>
      <c r="D152" s="24">
        <v>10000</v>
      </c>
      <c r="E152" s="20"/>
      <c r="F152" s="21" t="s">
        <v>18</v>
      </c>
      <c r="G152" s="19"/>
      <c r="H152" s="22" t="s">
        <v>20</v>
      </c>
    </row>
    <row r="153" spans="1:8" x14ac:dyDescent="0.25">
      <c r="A153" s="17">
        <v>43533</v>
      </c>
      <c r="B153" s="18" t="s">
        <v>569</v>
      </c>
      <c r="C153" s="19" t="s">
        <v>570</v>
      </c>
      <c r="D153" s="24"/>
      <c r="E153" s="20">
        <v>100</v>
      </c>
      <c r="F153" s="21"/>
      <c r="G153" s="19" t="s">
        <v>571</v>
      </c>
      <c r="H153" s="22" t="s">
        <v>19</v>
      </c>
    </row>
    <row r="154" spans="1:8" hidden="1" x14ac:dyDescent="0.25">
      <c r="A154" s="17">
        <v>43533</v>
      </c>
      <c r="B154" s="18" t="s">
        <v>572</v>
      </c>
      <c r="C154" s="19" t="s">
        <v>573</v>
      </c>
      <c r="D154" s="24"/>
      <c r="E154" s="20">
        <v>438</v>
      </c>
      <c r="F154" s="21"/>
      <c r="G154" s="19" t="s">
        <v>499</v>
      </c>
      <c r="H154" s="22" t="s">
        <v>19</v>
      </c>
    </row>
    <row r="155" spans="1:8" hidden="1" x14ac:dyDescent="0.25">
      <c r="A155" s="17">
        <v>43535</v>
      </c>
      <c r="B155" s="18" t="s">
        <v>574</v>
      </c>
      <c r="C155" s="19" t="s">
        <v>575</v>
      </c>
      <c r="D155" s="24"/>
      <c r="E155" s="20">
        <v>5015</v>
      </c>
      <c r="F155" s="21"/>
      <c r="G155" s="19" t="s">
        <v>576</v>
      </c>
      <c r="H155" s="22" t="s">
        <v>19</v>
      </c>
    </row>
    <row r="156" spans="1:8" hidden="1" x14ac:dyDescent="0.25">
      <c r="A156" s="17">
        <v>43542</v>
      </c>
      <c r="B156" s="18" t="s">
        <v>577</v>
      </c>
      <c r="C156" s="19" t="s">
        <v>578</v>
      </c>
      <c r="D156" s="24"/>
      <c r="E156" s="20">
        <v>245</v>
      </c>
      <c r="F156" s="21"/>
      <c r="G156" s="19" t="s">
        <v>579</v>
      </c>
      <c r="H156" s="22" t="s">
        <v>19</v>
      </c>
    </row>
    <row r="157" spans="1:8" hidden="1" x14ac:dyDescent="0.25">
      <c r="A157" s="17">
        <v>43543</v>
      </c>
      <c r="B157" s="18" t="s">
        <v>580</v>
      </c>
      <c r="C157" s="19" t="s">
        <v>581</v>
      </c>
      <c r="D157" s="24"/>
      <c r="E157" s="20">
        <v>200</v>
      </c>
      <c r="F157" s="21"/>
      <c r="G157" s="19" t="s">
        <v>535</v>
      </c>
      <c r="H157" s="22" t="s">
        <v>19</v>
      </c>
    </row>
    <row r="158" spans="1:8" hidden="1" x14ac:dyDescent="0.25">
      <c r="A158" s="17">
        <v>43549</v>
      </c>
      <c r="B158" s="18" t="s">
        <v>582</v>
      </c>
      <c r="C158" s="19" t="s">
        <v>583</v>
      </c>
      <c r="D158" s="24"/>
      <c r="E158" s="20">
        <v>720</v>
      </c>
      <c r="F158" s="21"/>
      <c r="G158" s="19" t="s">
        <v>65</v>
      </c>
      <c r="H158" s="22" t="s">
        <v>19</v>
      </c>
    </row>
    <row r="159" spans="1:8" hidden="1" x14ac:dyDescent="0.25">
      <c r="A159" s="17">
        <v>43551</v>
      </c>
      <c r="B159" s="18" t="s">
        <v>584</v>
      </c>
      <c r="C159" s="19" t="s">
        <v>295</v>
      </c>
      <c r="D159" s="24"/>
      <c r="E159" s="20">
        <v>361</v>
      </c>
      <c r="F159" s="21"/>
      <c r="G159" s="19" t="s">
        <v>56</v>
      </c>
      <c r="H159" s="22" t="s">
        <v>19</v>
      </c>
    </row>
    <row r="160" spans="1:8" hidden="1" x14ac:dyDescent="0.25">
      <c r="A160" s="32">
        <v>43553</v>
      </c>
      <c r="B160" s="18"/>
      <c r="C160" s="19" t="s">
        <v>42</v>
      </c>
      <c r="D160" s="24">
        <v>10000</v>
      </c>
      <c r="E160" s="20"/>
      <c r="F160" s="21" t="s">
        <v>18</v>
      </c>
      <c r="G160" s="19"/>
      <c r="H160" s="22" t="s">
        <v>20</v>
      </c>
    </row>
    <row r="161" spans="1:8" hidden="1" x14ac:dyDescent="0.25">
      <c r="A161" s="17">
        <v>43553</v>
      </c>
      <c r="B161" s="18" t="s">
        <v>585</v>
      </c>
      <c r="C161" s="19" t="s">
        <v>586</v>
      </c>
      <c r="D161" s="24"/>
      <c r="E161" s="20">
        <v>792</v>
      </c>
      <c r="F161" s="21"/>
      <c r="G161" s="19" t="s">
        <v>495</v>
      </c>
      <c r="H161" s="22" t="s">
        <v>19</v>
      </c>
    </row>
    <row r="162" spans="1:8" hidden="1" x14ac:dyDescent="0.25">
      <c r="A162" s="17">
        <v>43553</v>
      </c>
      <c r="B162" s="18" t="s">
        <v>587</v>
      </c>
      <c r="C162" s="19" t="s">
        <v>588</v>
      </c>
      <c r="D162" s="24"/>
      <c r="E162" s="20">
        <v>1690</v>
      </c>
      <c r="F162" s="21"/>
      <c r="G162" s="19" t="s">
        <v>499</v>
      </c>
      <c r="H162" s="22" t="s">
        <v>19</v>
      </c>
    </row>
    <row r="163" spans="1:8" hidden="1" x14ac:dyDescent="0.25">
      <c r="A163" s="17">
        <v>43554</v>
      </c>
      <c r="B163" s="18" t="s">
        <v>589</v>
      </c>
      <c r="C163" s="19" t="s">
        <v>590</v>
      </c>
      <c r="D163" s="24"/>
      <c r="E163" s="20">
        <v>1310</v>
      </c>
      <c r="F163" s="21"/>
      <c r="G163" s="19" t="s">
        <v>397</v>
      </c>
      <c r="H163" s="22" t="s">
        <v>19</v>
      </c>
    </row>
    <row r="164" spans="1:8" hidden="1" x14ac:dyDescent="0.25">
      <c r="A164" s="17">
        <v>43555</v>
      </c>
      <c r="B164" s="18" t="s">
        <v>591</v>
      </c>
      <c r="C164" s="19" t="s">
        <v>592</v>
      </c>
      <c r="D164" s="24"/>
      <c r="E164" s="20">
        <v>707</v>
      </c>
      <c r="F164" s="21"/>
      <c r="G164" s="19" t="s">
        <v>326</v>
      </c>
      <c r="H164" s="22" t="s">
        <v>19</v>
      </c>
    </row>
    <row r="165" spans="1:8" hidden="1" x14ac:dyDescent="0.25">
      <c r="A165" s="17">
        <v>43555</v>
      </c>
      <c r="B165" s="18" t="s">
        <v>593</v>
      </c>
      <c r="C165" s="19" t="s">
        <v>594</v>
      </c>
      <c r="D165" s="24"/>
      <c r="E165" s="20">
        <v>726</v>
      </c>
      <c r="F165" s="21"/>
      <c r="G165" s="19" t="s">
        <v>46</v>
      </c>
      <c r="H165" s="22" t="s">
        <v>19</v>
      </c>
    </row>
    <row r="166" spans="1:8" hidden="1" x14ac:dyDescent="0.25">
      <c r="A166" s="17">
        <v>43555</v>
      </c>
      <c r="B166" s="18" t="s">
        <v>595</v>
      </c>
      <c r="C166" s="19" t="s">
        <v>444</v>
      </c>
      <c r="D166" s="24"/>
      <c r="E166" s="20">
        <v>3000</v>
      </c>
      <c r="F166" s="21"/>
      <c r="G166" s="19" t="s">
        <v>323</v>
      </c>
      <c r="H166" s="22" t="s">
        <v>19</v>
      </c>
    </row>
    <row r="167" spans="1:8" hidden="1" x14ac:dyDescent="0.25">
      <c r="A167" s="32"/>
      <c r="B167" s="31"/>
      <c r="C167" s="19"/>
      <c r="D167" s="24"/>
      <c r="E167" s="20"/>
      <c r="F167" s="21"/>
      <c r="G167" s="19"/>
      <c r="H167" s="22"/>
    </row>
    <row r="168" spans="1:8" x14ac:dyDescent="0.25">
      <c r="A168" s="2" t="s">
        <v>291</v>
      </c>
      <c r="B168" s="2">
        <f>SUBTOTAL(103,Table13[Receipt No.])</f>
        <v>5</v>
      </c>
      <c r="C168" s="3"/>
      <c r="D168" s="28">
        <f>SUBTOTAL(109,Table13[Amount Deposited])</f>
        <v>0</v>
      </c>
      <c r="E168" s="27">
        <f>SUBTOTAL(109,Table13[Amount Withdrawn])</f>
        <v>5647</v>
      </c>
      <c r="F168" s="1"/>
      <c r="G168" s="3"/>
      <c r="H168" s="4"/>
    </row>
  </sheetData>
  <mergeCells count="3">
    <mergeCell ref="A1:G1"/>
    <mergeCell ref="A3:C3"/>
    <mergeCell ref="F3:G3"/>
  </mergeCells>
  <conditionalFormatting sqref="E3">
    <cfRule type="cellIs" dxfId="19" priority="1" stopIfTrue="1" operator="lessThan">
      <formula>0</formula>
    </cfRule>
  </conditionalFormatting>
  <dataValidations count="1">
    <dataValidation type="list" allowBlank="1" showInputMessage="1" showErrorMessage="1" sqref="F26 F29 F16:F23 F6:F14 F31 F41:F44" xr:uid="{EF7CE3C9-D1FA-480A-BAD2-E65D48306454}">
      <formula1>$J$1:$J$10</formula1>
    </dataValidation>
  </dataValidations>
  <printOptions horizontalCentered="1"/>
  <pageMargins left="0.75" right="0.75" top="1" bottom="1" header="0.5" footer="0.5"/>
  <pageSetup scale="76" orientation="landscape" horizontalDpi="300" verticalDpi="300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95A4-B2C0-4A6F-AB9A-D4DEDC40DF70}">
  <sheetPr>
    <pageSetUpPr fitToPage="1"/>
  </sheetPr>
  <dimension ref="A1:J170"/>
  <sheetViews>
    <sheetView showGridLines="0" topLeftCell="A5" zoomScaleNormal="100" workbookViewId="0">
      <selection activeCell="C13" sqref="C13"/>
    </sheetView>
  </sheetViews>
  <sheetFormatPr defaultColWidth="9.1796875" defaultRowHeight="12.5" x14ac:dyDescent="0.25"/>
  <cols>
    <col min="1" max="1" width="9.54296875" style="8" bestFit="1" customWidth="1"/>
    <col min="2" max="2" width="13.453125" style="8" bestFit="1" customWidth="1"/>
    <col min="3" max="3" width="32" style="5" bestFit="1" customWidth="1"/>
    <col min="4" max="4" width="15.81640625" style="9" bestFit="1" customWidth="1"/>
    <col min="5" max="5" width="16.1796875" style="9" bestFit="1" customWidth="1"/>
    <col min="6" max="6" width="18.453125" style="5" bestFit="1" customWidth="1"/>
    <col min="7" max="7" width="16.81640625" style="5" customWidth="1"/>
    <col min="8" max="8" width="13.54296875" style="8" bestFit="1" customWidth="1"/>
    <col min="9" max="9" width="9.1796875" style="5"/>
    <col min="10" max="10" width="17.453125" style="5" bestFit="1" customWidth="1"/>
    <col min="11" max="16384" width="9.1796875" style="5"/>
  </cols>
  <sheetData>
    <row r="1" spans="1:10" ht="20.5" thickBot="1" x14ac:dyDescent="0.3">
      <c r="A1" s="52" t="s">
        <v>0</v>
      </c>
      <c r="B1" s="52"/>
      <c r="C1" s="52"/>
      <c r="D1" s="52"/>
      <c r="E1" s="52"/>
      <c r="F1" s="52"/>
      <c r="G1" s="52"/>
      <c r="H1" s="30" t="s">
        <v>596</v>
      </c>
      <c r="I1" s="1"/>
      <c r="J1" s="6" t="s">
        <v>2</v>
      </c>
    </row>
    <row r="2" spans="1:10" ht="15.5" x14ac:dyDescent="0.25">
      <c r="A2" s="7"/>
      <c r="B2" s="2"/>
      <c r="C2" s="1"/>
      <c r="D2" s="43"/>
      <c r="E2" s="43"/>
      <c r="F2" s="1"/>
      <c r="G2" s="1"/>
      <c r="H2" s="2"/>
      <c r="I2" s="1"/>
      <c r="J2" s="6" t="s">
        <v>3</v>
      </c>
    </row>
    <row r="3" spans="1:10" ht="13.5" x14ac:dyDescent="0.25">
      <c r="A3" s="53" t="str">
        <f>"For "&amp;TEXT(MIN(A6:A169),"dd/mm/yyyy")&amp;" through "&amp;TEXT(MAX(A6:A169),"dd/mm/yyyy")</f>
        <v>For 01/04/2019 through 15/03/2020</v>
      </c>
      <c r="B3" s="54"/>
      <c r="C3" s="54"/>
      <c r="D3" s="10" t="s">
        <v>4</v>
      </c>
      <c r="E3" s="29">
        <f>D170-E170</f>
        <v>955</v>
      </c>
      <c r="F3" s="50"/>
      <c r="G3" s="51"/>
      <c r="H3" s="11"/>
      <c r="I3" s="1"/>
      <c r="J3" s="6" t="s">
        <v>5</v>
      </c>
    </row>
    <row r="4" spans="1:10" ht="13.5" x14ac:dyDescent="0.25">
      <c r="A4" s="12"/>
      <c r="B4" s="13"/>
      <c r="C4" s="1"/>
      <c r="D4" s="43"/>
      <c r="E4" s="43"/>
      <c r="F4" s="1"/>
      <c r="G4" s="1"/>
      <c r="H4" s="2"/>
      <c r="I4" s="1"/>
      <c r="J4" s="6" t="s">
        <v>6</v>
      </c>
    </row>
    <row r="5" spans="1:10" ht="13.5" x14ac:dyDescent="0.25">
      <c r="A5" s="14" t="s">
        <v>7</v>
      </c>
      <c r="B5" s="14" t="s">
        <v>8</v>
      </c>
      <c r="C5" s="15" t="s">
        <v>9</v>
      </c>
      <c r="D5" s="16" t="s">
        <v>10</v>
      </c>
      <c r="E5" s="16" t="s">
        <v>11</v>
      </c>
      <c r="F5" s="15" t="s">
        <v>12</v>
      </c>
      <c r="G5" s="15" t="s">
        <v>13</v>
      </c>
      <c r="H5" s="14" t="s">
        <v>14</v>
      </c>
      <c r="I5" s="1"/>
      <c r="J5" s="6" t="s">
        <v>15</v>
      </c>
    </row>
    <row r="6" spans="1:10" s="21" customFormat="1" x14ac:dyDescent="0.25">
      <c r="A6" s="17">
        <v>43556</v>
      </c>
      <c r="B6" s="18"/>
      <c r="C6" s="19" t="s">
        <v>17</v>
      </c>
      <c r="D6" s="26">
        <v>1124</v>
      </c>
      <c r="E6" s="20"/>
      <c r="F6" s="21" t="s">
        <v>18</v>
      </c>
      <c r="G6" s="19" t="s">
        <v>19</v>
      </c>
      <c r="H6" s="22" t="s">
        <v>20</v>
      </c>
      <c r="J6" s="23" t="s">
        <v>21</v>
      </c>
    </row>
    <row r="7" spans="1:10" s="21" customFormat="1" x14ac:dyDescent="0.35">
      <c r="A7" s="17">
        <v>43557</v>
      </c>
      <c r="B7" s="18" t="s">
        <v>597</v>
      </c>
      <c r="C7" s="19" t="s">
        <v>598</v>
      </c>
      <c r="D7" s="24"/>
      <c r="E7" s="20">
        <v>1440</v>
      </c>
      <c r="G7" s="19" t="s">
        <v>363</v>
      </c>
      <c r="H7" s="22" t="s">
        <v>19</v>
      </c>
      <c r="J7" s="25" t="s">
        <v>18</v>
      </c>
    </row>
    <row r="8" spans="1:10" s="21" customFormat="1" ht="11.5" x14ac:dyDescent="0.25">
      <c r="A8" s="17">
        <v>43564</v>
      </c>
      <c r="B8" s="18" t="s">
        <v>599</v>
      </c>
      <c r="C8" s="19" t="s">
        <v>600</v>
      </c>
      <c r="D8" s="24"/>
      <c r="E8" s="20">
        <v>459</v>
      </c>
      <c r="G8" s="19" t="s">
        <v>601</v>
      </c>
      <c r="H8" s="22" t="s">
        <v>19</v>
      </c>
    </row>
    <row r="9" spans="1:10" s="21" customFormat="1" ht="11.5" x14ac:dyDescent="0.25">
      <c r="A9" s="17">
        <v>43564</v>
      </c>
      <c r="B9" s="18" t="s">
        <v>602</v>
      </c>
      <c r="C9" s="19" t="s">
        <v>295</v>
      </c>
      <c r="D9" s="24"/>
      <c r="E9" s="20">
        <v>120</v>
      </c>
      <c r="G9" s="19" t="s">
        <v>56</v>
      </c>
      <c r="H9" s="22" t="s">
        <v>19</v>
      </c>
    </row>
    <row r="10" spans="1:10" s="21" customFormat="1" ht="11.5" x14ac:dyDescent="0.25">
      <c r="A10" s="17">
        <v>43565</v>
      </c>
      <c r="B10" s="18" t="s">
        <v>603</v>
      </c>
      <c r="C10" s="19" t="s">
        <v>604</v>
      </c>
      <c r="D10" s="24"/>
      <c r="E10" s="20">
        <v>1000</v>
      </c>
      <c r="G10" s="19" t="s">
        <v>605</v>
      </c>
      <c r="H10" s="22" t="s">
        <v>19</v>
      </c>
    </row>
    <row r="11" spans="1:10" s="21" customFormat="1" ht="11.5" x14ac:dyDescent="0.25">
      <c r="A11" s="17">
        <v>43565</v>
      </c>
      <c r="B11" s="18" t="s">
        <v>606</v>
      </c>
      <c r="C11" s="19" t="s">
        <v>578</v>
      </c>
      <c r="D11" s="24"/>
      <c r="E11" s="20">
        <v>41</v>
      </c>
      <c r="G11" s="19" t="s">
        <v>607</v>
      </c>
      <c r="H11" s="22" t="s">
        <v>19</v>
      </c>
    </row>
    <row r="12" spans="1:10" s="21" customFormat="1" ht="11.5" x14ac:dyDescent="0.25">
      <c r="A12" s="17">
        <v>43565</v>
      </c>
      <c r="B12" s="18" t="s">
        <v>608</v>
      </c>
      <c r="C12" s="19" t="s">
        <v>609</v>
      </c>
      <c r="D12" s="24"/>
      <c r="E12" s="20">
        <v>3161</v>
      </c>
      <c r="G12" s="19" t="s">
        <v>46</v>
      </c>
      <c r="H12" s="22" t="s">
        <v>19</v>
      </c>
    </row>
    <row r="13" spans="1:10" s="21" customFormat="1" ht="11.5" x14ac:dyDescent="0.25">
      <c r="A13" s="17">
        <v>43565</v>
      </c>
      <c r="B13" s="18"/>
      <c r="C13" s="19" t="s">
        <v>42</v>
      </c>
      <c r="D13" s="24">
        <v>5000</v>
      </c>
      <c r="E13" s="20"/>
      <c r="G13" s="19" t="s">
        <v>19</v>
      </c>
      <c r="H13" s="22" t="s">
        <v>20</v>
      </c>
    </row>
    <row r="14" spans="1:10" s="21" customFormat="1" ht="11.5" x14ac:dyDescent="0.25">
      <c r="A14" s="17">
        <v>43565</v>
      </c>
      <c r="B14" s="18" t="s">
        <v>610</v>
      </c>
      <c r="C14" s="19" t="s">
        <v>611</v>
      </c>
      <c r="D14" s="24"/>
      <c r="E14" s="20">
        <v>720</v>
      </c>
      <c r="G14" s="19" t="s">
        <v>65</v>
      </c>
      <c r="H14" s="22" t="s">
        <v>19</v>
      </c>
    </row>
    <row r="15" spans="1:10" s="21" customFormat="1" ht="11.5" x14ac:dyDescent="0.25">
      <c r="A15" s="17">
        <v>43565</v>
      </c>
      <c r="B15" s="18" t="s">
        <v>612</v>
      </c>
      <c r="C15" s="19" t="s">
        <v>613</v>
      </c>
      <c r="D15" s="24"/>
      <c r="E15" s="20">
        <v>150</v>
      </c>
      <c r="G15" s="19" t="s">
        <v>614</v>
      </c>
      <c r="H15" s="22" t="s">
        <v>19</v>
      </c>
    </row>
    <row r="16" spans="1:10" s="21" customFormat="1" ht="11.5" x14ac:dyDescent="0.25">
      <c r="A16" s="17">
        <v>43565</v>
      </c>
      <c r="B16" s="18" t="s">
        <v>615</v>
      </c>
      <c r="C16" s="19" t="s">
        <v>616</v>
      </c>
      <c r="D16" s="24"/>
      <c r="E16" s="20">
        <v>1608</v>
      </c>
      <c r="G16" s="19" t="s">
        <v>152</v>
      </c>
      <c r="H16" s="22" t="s">
        <v>19</v>
      </c>
    </row>
    <row r="17" spans="1:8" s="21" customFormat="1" ht="11.5" x14ac:dyDescent="0.25">
      <c r="A17" s="17">
        <v>43566</v>
      </c>
      <c r="B17" s="31"/>
      <c r="C17" s="19" t="s">
        <v>42</v>
      </c>
      <c r="D17" s="24">
        <v>5000</v>
      </c>
      <c r="E17" s="20"/>
      <c r="G17" s="19" t="s">
        <v>19</v>
      </c>
      <c r="H17" s="22" t="s">
        <v>20</v>
      </c>
    </row>
    <row r="18" spans="1:8" s="21" customFormat="1" ht="11.5" x14ac:dyDescent="0.25">
      <c r="A18" s="17">
        <v>43572</v>
      </c>
      <c r="B18" s="18" t="s">
        <v>617</v>
      </c>
      <c r="C18" s="19" t="s">
        <v>618</v>
      </c>
      <c r="D18" s="24"/>
      <c r="E18" s="20">
        <v>51</v>
      </c>
      <c r="G18" s="19" t="s">
        <v>619</v>
      </c>
      <c r="H18" s="22" t="s">
        <v>19</v>
      </c>
    </row>
    <row r="19" spans="1:8" s="21" customFormat="1" ht="11.5" x14ac:dyDescent="0.25">
      <c r="A19" s="17">
        <v>43574</v>
      </c>
      <c r="B19" s="18" t="s">
        <v>620</v>
      </c>
      <c r="C19" s="19" t="s">
        <v>609</v>
      </c>
      <c r="D19" s="24"/>
      <c r="E19" s="20">
        <v>1448</v>
      </c>
      <c r="G19" s="19" t="s">
        <v>46</v>
      </c>
      <c r="H19" s="22" t="s">
        <v>19</v>
      </c>
    </row>
    <row r="20" spans="1:8" s="21" customFormat="1" ht="11.5" x14ac:dyDescent="0.25">
      <c r="A20" s="17">
        <v>43578</v>
      </c>
      <c r="B20" s="18" t="s">
        <v>621</v>
      </c>
      <c r="C20" s="19" t="s">
        <v>622</v>
      </c>
      <c r="D20" s="24"/>
      <c r="E20" s="20">
        <v>150</v>
      </c>
      <c r="G20" s="19" t="s">
        <v>614</v>
      </c>
      <c r="H20" s="22" t="s">
        <v>19</v>
      </c>
    </row>
    <row r="21" spans="1:8" s="21" customFormat="1" ht="11.5" x14ac:dyDescent="0.25">
      <c r="A21" s="17">
        <v>43584</v>
      </c>
      <c r="B21" s="18" t="s">
        <v>623</v>
      </c>
      <c r="C21" s="19" t="s">
        <v>624</v>
      </c>
      <c r="D21" s="24"/>
      <c r="E21" s="20">
        <v>240</v>
      </c>
      <c r="G21" s="19" t="s">
        <v>56</v>
      </c>
      <c r="H21" s="22" t="s">
        <v>19</v>
      </c>
    </row>
    <row r="22" spans="1:8" s="21" customFormat="1" ht="11.5" x14ac:dyDescent="0.25">
      <c r="A22" s="17">
        <v>43589</v>
      </c>
      <c r="B22" s="18" t="s">
        <v>625</v>
      </c>
      <c r="C22" s="19" t="s">
        <v>626</v>
      </c>
      <c r="D22" s="24"/>
      <c r="E22" s="20">
        <f>498*3</f>
        <v>1494</v>
      </c>
      <c r="G22" s="19" t="s">
        <v>619</v>
      </c>
      <c r="H22" s="22" t="s">
        <v>19</v>
      </c>
    </row>
    <row r="23" spans="1:8" s="21" customFormat="1" ht="11.5" x14ac:dyDescent="0.25">
      <c r="A23" s="17">
        <v>43589</v>
      </c>
      <c r="B23" s="18" t="s">
        <v>627</v>
      </c>
      <c r="C23" s="19" t="s">
        <v>628</v>
      </c>
      <c r="D23" s="24"/>
      <c r="E23" s="20">
        <v>707</v>
      </c>
      <c r="G23" s="19" t="s">
        <v>326</v>
      </c>
      <c r="H23" s="22" t="s">
        <v>19</v>
      </c>
    </row>
    <row r="24" spans="1:8" s="21" customFormat="1" ht="11.5" x14ac:dyDescent="0.25">
      <c r="A24" s="17">
        <v>43591</v>
      </c>
      <c r="B24" s="18" t="s">
        <v>629</v>
      </c>
      <c r="C24" s="19" t="s">
        <v>616</v>
      </c>
      <c r="D24" s="24"/>
      <c r="E24" s="20">
        <v>383</v>
      </c>
      <c r="G24" s="19" t="s">
        <v>152</v>
      </c>
      <c r="H24" s="22" t="s">
        <v>19</v>
      </c>
    </row>
    <row r="25" spans="1:8" s="21" customFormat="1" ht="11.5" x14ac:dyDescent="0.25">
      <c r="A25" s="17">
        <v>43591</v>
      </c>
      <c r="B25" s="18"/>
      <c r="C25" s="19" t="s">
        <v>42</v>
      </c>
      <c r="D25" s="24">
        <v>12000</v>
      </c>
      <c r="E25" s="20"/>
      <c r="G25" s="19" t="s">
        <v>19</v>
      </c>
      <c r="H25" s="22" t="s">
        <v>20</v>
      </c>
    </row>
    <row r="26" spans="1:8" s="21" customFormat="1" ht="11.5" x14ac:dyDescent="0.25">
      <c r="A26" s="17">
        <v>43592</v>
      </c>
      <c r="B26" s="18" t="s">
        <v>630</v>
      </c>
      <c r="C26" s="19" t="s">
        <v>631</v>
      </c>
      <c r="D26" s="24"/>
      <c r="E26" s="20">
        <v>683</v>
      </c>
      <c r="G26" s="19" t="s">
        <v>152</v>
      </c>
      <c r="H26" s="22" t="s">
        <v>19</v>
      </c>
    </row>
    <row r="27" spans="1:8" s="21" customFormat="1" ht="11.5" x14ac:dyDescent="0.25">
      <c r="A27" s="17">
        <v>43605</v>
      </c>
      <c r="B27" s="18" t="s">
        <v>632</v>
      </c>
      <c r="C27" s="19" t="s">
        <v>633</v>
      </c>
      <c r="D27" s="24"/>
      <c r="E27" s="20">
        <v>840</v>
      </c>
      <c r="G27" s="19" t="s">
        <v>65</v>
      </c>
      <c r="H27" s="22" t="s">
        <v>19</v>
      </c>
    </row>
    <row r="28" spans="1:8" s="21" customFormat="1" ht="11.5" x14ac:dyDescent="0.25">
      <c r="A28" s="17">
        <v>43610</v>
      </c>
      <c r="B28" s="18" t="s">
        <v>634</v>
      </c>
      <c r="C28" s="19" t="s">
        <v>609</v>
      </c>
      <c r="D28" s="24"/>
      <c r="E28" s="20">
        <v>4107</v>
      </c>
      <c r="G28" s="19" t="s">
        <v>46</v>
      </c>
      <c r="H28" s="22" t="s">
        <v>19</v>
      </c>
    </row>
    <row r="29" spans="1:8" s="21" customFormat="1" ht="11.5" x14ac:dyDescent="0.25">
      <c r="A29" s="17">
        <v>43612</v>
      </c>
      <c r="B29" s="18" t="s">
        <v>635</v>
      </c>
      <c r="C29" s="19" t="s">
        <v>636</v>
      </c>
      <c r="D29" s="24"/>
      <c r="E29" s="20">
        <v>900</v>
      </c>
      <c r="G29" s="19" t="s">
        <v>363</v>
      </c>
      <c r="H29" s="22" t="s">
        <v>19</v>
      </c>
    </row>
    <row r="30" spans="1:8" s="21" customFormat="1" ht="11.5" x14ac:dyDescent="0.25">
      <c r="A30" s="17">
        <v>43612</v>
      </c>
      <c r="B30" s="18" t="s">
        <v>637</v>
      </c>
      <c r="C30" s="19" t="s">
        <v>638</v>
      </c>
      <c r="D30" s="24"/>
      <c r="E30" s="20">
        <v>3000</v>
      </c>
      <c r="G30" s="19" t="s">
        <v>323</v>
      </c>
      <c r="H30" s="22" t="s">
        <v>19</v>
      </c>
    </row>
    <row r="31" spans="1:8" s="21" customFormat="1" ht="11.5" x14ac:dyDescent="0.25">
      <c r="A31" s="17">
        <v>43614</v>
      </c>
      <c r="B31" s="18" t="s">
        <v>639</v>
      </c>
      <c r="C31" s="19" t="s">
        <v>23</v>
      </c>
      <c r="D31" s="24"/>
      <c r="E31" s="20">
        <v>599</v>
      </c>
      <c r="G31" s="19" t="s">
        <v>640</v>
      </c>
      <c r="H31" s="22" t="s">
        <v>19</v>
      </c>
    </row>
    <row r="32" spans="1:8" s="21" customFormat="1" ht="11.5" x14ac:dyDescent="0.25">
      <c r="A32" s="17">
        <v>43614</v>
      </c>
      <c r="B32" s="18" t="s">
        <v>641</v>
      </c>
      <c r="C32" s="19" t="s">
        <v>616</v>
      </c>
      <c r="D32" s="24"/>
      <c r="E32" s="20">
        <v>205</v>
      </c>
      <c r="G32" s="19" t="s">
        <v>152</v>
      </c>
      <c r="H32" s="22" t="s">
        <v>19</v>
      </c>
    </row>
    <row r="33" spans="1:8" s="21" customFormat="1" ht="11.5" x14ac:dyDescent="0.25">
      <c r="A33" s="17">
        <v>43616</v>
      </c>
      <c r="B33" s="18"/>
      <c r="C33" s="19" t="s">
        <v>42</v>
      </c>
      <c r="D33" s="24">
        <v>10000</v>
      </c>
      <c r="E33" s="20"/>
      <c r="G33" s="19" t="s">
        <v>19</v>
      </c>
      <c r="H33" s="22" t="s">
        <v>20</v>
      </c>
    </row>
    <row r="34" spans="1:8" s="21" customFormat="1" ht="11.5" x14ac:dyDescent="0.25">
      <c r="A34" s="17">
        <v>43616</v>
      </c>
      <c r="B34" s="18" t="s">
        <v>642</v>
      </c>
      <c r="C34" s="19" t="s">
        <v>643</v>
      </c>
      <c r="D34" s="24"/>
      <c r="E34" s="20">
        <v>1500</v>
      </c>
      <c r="G34" s="19" t="s">
        <v>644</v>
      </c>
      <c r="H34" s="22" t="s">
        <v>19</v>
      </c>
    </row>
    <row r="35" spans="1:8" s="21" customFormat="1" ht="11.5" x14ac:dyDescent="0.25">
      <c r="A35" s="17">
        <v>43616</v>
      </c>
      <c r="B35" s="18" t="s">
        <v>645</v>
      </c>
      <c r="C35" s="19" t="s">
        <v>646</v>
      </c>
      <c r="D35" s="24"/>
      <c r="E35" s="20">
        <v>950</v>
      </c>
      <c r="G35" s="19" t="s">
        <v>644</v>
      </c>
      <c r="H35" s="22" t="s">
        <v>19</v>
      </c>
    </row>
    <row r="36" spans="1:8" s="21" customFormat="1" ht="11.5" x14ac:dyDescent="0.25">
      <c r="A36" s="17">
        <v>43616</v>
      </c>
      <c r="B36" s="18" t="s">
        <v>647</v>
      </c>
      <c r="C36" s="19" t="s">
        <v>648</v>
      </c>
      <c r="D36" s="24"/>
      <c r="E36" s="20">
        <v>50</v>
      </c>
      <c r="G36" s="19" t="s">
        <v>614</v>
      </c>
      <c r="H36" s="22" t="s">
        <v>19</v>
      </c>
    </row>
    <row r="37" spans="1:8" s="21" customFormat="1" ht="11.5" x14ac:dyDescent="0.25">
      <c r="A37" s="17">
        <v>43616</v>
      </c>
      <c r="B37" s="18" t="s">
        <v>649</v>
      </c>
      <c r="C37" s="19" t="s">
        <v>650</v>
      </c>
      <c r="D37" s="24"/>
      <c r="E37" s="20">
        <v>2410</v>
      </c>
      <c r="G37" s="19" t="s">
        <v>302</v>
      </c>
      <c r="H37" s="22" t="s">
        <v>19</v>
      </c>
    </row>
    <row r="38" spans="1:8" s="21" customFormat="1" ht="11.5" x14ac:dyDescent="0.25">
      <c r="A38" s="17">
        <v>43619</v>
      </c>
      <c r="B38" s="18" t="s">
        <v>651</v>
      </c>
      <c r="C38" s="19" t="s">
        <v>652</v>
      </c>
      <c r="D38" s="24"/>
      <c r="E38" s="20">
        <v>220</v>
      </c>
      <c r="G38" s="19" t="s">
        <v>505</v>
      </c>
      <c r="H38" s="22" t="s">
        <v>19</v>
      </c>
    </row>
    <row r="39" spans="1:8" s="21" customFormat="1" ht="11.5" x14ac:dyDescent="0.25">
      <c r="A39" s="17">
        <v>43622</v>
      </c>
      <c r="B39" s="18" t="s">
        <v>653</v>
      </c>
      <c r="C39" s="19" t="s">
        <v>654</v>
      </c>
      <c r="D39" s="24"/>
      <c r="E39" s="20">
        <v>100</v>
      </c>
      <c r="G39" s="19" t="s">
        <v>579</v>
      </c>
      <c r="H39" s="22" t="s">
        <v>19</v>
      </c>
    </row>
    <row r="40" spans="1:8" s="21" customFormat="1" ht="11.5" x14ac:dyDescent="0.25">
      <c r="A40" s="17">
        <v>43622</v>
      </c>
      <c r="B40" s="18" t="s">
        <v>655</v>
      </c>
      <c r="C40" s="19" t="s">
        <v>656</v>
      </c>
      <c r="D40" s="24"/>
      <c r="E40" s="20">
        <v>900</v>
      </c>
      <c r="G40" s="19" t="s">
        <v>65</v>
      </c>
      <c r="H40" s="22" t="s">
        <v>19</v>
      </c>
    </row>
    <row r="41" spans="1:8" s="21" customFormat="1" ht="11.5" x14ac:dyDescent="0.25">
      <c r="A41" s="17">
        <v>43626</v>
      </c>
      <c r="B41" s="18" t="s">
        <v>657</v>
      </c>
      <c r="C41" s="19" t="s">
        <v>658</v>
      </c>
      <c r="D41" s="24"/>
      <c r="E41" s="20">
        <v>3000</v>
      </c>
      <c r="G41" s="19" t="s">
        <v>323</v>
      </c>
      <c r="H41" s="22" t="s">
        <v>19</v>
      </c>
    </row>
    <row r="42" spans="1:8" s="21" customFormat="1" ht="11.5" x14ac:dyDescent="0.25">
      <c r="A42" s="17">
        <v>43630</v>
      </c>
      <c r="B42" s="18" t="s">
        <v>659</v>
      </c>
      <c r="C42" s="19" t="s">
        <v>616</v>
      </c>
      <c r="D42" s="24"/>
      <c r="E42" s="20">
        <v>205</v>
      </c>
      <c r="G42" s="19" t="s">
        <v>152</v>
      </c>
      <c r="H42" s="22" t="s">
        <v>19</v>
      </c>
    </row>
    <row r="43" spans="1:8" s="21" customFormat="1" ht="11.5" x14ac:dyDescent="0.25">
      <c r="A43" s="17">
        <v>43633</v>
      </c>
      <c r="B43" s="18" t="s">
        <v>660</v>
      </c>
      <c r="C43" s="19" t="s">
        <v>661</v>
      </c>
      <c r="D43" s="24"/>
      <c r="E43" s="20">
        <v>1980</v>
      </c>
      <c r="G43" s="19" t="s">
        <v>363</v>
      </c>
      <c r="H43" s="22" t="s">
        <v>19</v>
      </c>
    </row>
    <row r="44" spans="1:8" s="21" customFormat="1" ht="11.5" x14ac:dyDescent="0.25">
      <c r="A44" s="17">
        <v>43649</v>
      </c>
      <c r="B44" s="18" t="s">
        <v>662</v>
      </c>
      <c r="C44" s="19" t="s">
        <v>663</v>
      </c>
      <c r="D44" s="24"/>
      <c r="E44" s="20">
        <v>960</v>
      </c>
      <c r="G44" s="19" t="s">
        <v>65</v>
      </c>
      <c r="H44" s="22" t="s">
        <v>19</v>
      </c>
    </row>
    <row r="45" spans="1:8" s="21" customFormat="1" ht="11.5" x14ac:dyDescent="0.25">
      <c r="A45" s="17">
        <v>43650</v>
      </c>
      <c r="B45" s="18" t="s">
        <v>664</v>
      </c>
      <c r="C45" s="19" t="s">
        <v>665</v>
      </c>
      <c r="D45" s="24"/>
      <c r="E45" s="20">
        <v>700</v>
      </c>
      <c r="G45" s="19" t="s">
        <v>666</v>
      </c>
      <c r="H45" s="22" t="s">
        <v>19</v>
      </c>
    </row>
    <row r="46" spans="1:8" s="21" customFormat="1" ht="11.5" x14ac:dyDescent="0.25">
      <c r="A46" s="17">
        <v>43650</v>
      </c>
      <c r="B46" s="18" t="s">
        <v>667</v>
      </c>
      <c r="C46" s="19" t="s">
        <v>609</v>
      </c>
      <c r="D46" s="24"/>
      <c r="E46" s="20">
        <v>822</v>
      </c>
      <c r="G46" s="19" t="s">
        <v>46</v>
      </c>
      <c r="H46" s="22" t="s">
        <v>19</v>
      </c>
    </row>
    <row r="47" spans="1:8" x14ac:dyDescent="0.25">
      <c r="A47" s="17">
        <v>43650</v>
      </c>
      <c r="B47" s="18"/>
      <c r="C47" s="19" t="s">
        <v>42</v>
      </c>
      <c r="D47" s="24">
        <v>12000</v>
      </c>
      <c r="E47" s="20"/>
      <c r="F47" s="21"/>
      <c r="G47" s="19" t="s">
        <v>19</v>
      </c>
      <c r="H47" s="22" t="s">
        <v>20</v>
      </c>
    </row>
    <row r="48" spans="1:8" x14ac:dyDescent="0.25">
      <c r="A48" s="17">
        <v>43654</v>
      </c>
      <c r="B48" s="18" t="s">
        <v>668</v>
      </c>
      <c r="C48" s="19" t="s">
        <v>669</v>
      </c>
      <c r="D48" s="24"/>
      <c r="E48" s="20">
        <v>707</v>
      </c>
      <c r="F48" s="21"/>
      <c r="G48" s="19" t="s">
        <v>326</v>
      </c>
      <c r="H48" s="22" t="s">
        <v>19</v>
      </c>
    </row>
    <row r="49" spans="1:8" x14ac:dyDescent="0.25">
      <c r="A49" s="17">
        <v>43654</v>
      </c>
      <c r="B49" s="18" t="s">
        <v>670</v>
      </c>
      <c r="C49" s="19" t="s">
        <v>671</v>
      </c>
      <c r="D49" s="24"/>
      <c r="E49" s="20">
        <v>707</v>
      </c>
      <c r="F49" s="21"/>
      <c r="G49" s="19" t="s">
        <v>326</v>
      </c>
      <c r="H49" s="22" t="s">
        <v>19</v>
      </c>
    </row>
    <row r="50" spans="1:8" x14ac:dyDescent="0.25">
      <c r="A50" s="17">
        <v>43654</v>
      </c>
      <c r="B50" s="18" t="s">
        <v>672</v>
      </c>
      <c r="C50" s="19" t="s">
        <v>673</v>
      </c>
      <c r="D50" s="24"/>
      <c r="E50" s="20">
        <v>600</v>
      </c>
      <c r="F50" s="21"/>
      <c r="G50" s="19" t="s">
        <v>614</v>
      </c>
      <c r="H50" s="22" t="s">
        <v>19</v>
      </c>
    </row>
    <row r="51" spans="1:8" x14ac:dyDescent="0.25">
      <c r="A51" s="17">
        <v>43655</v>
      </c>
      <c r="B51" s="18" t="s">
        <v>674</v>
      </c>
      <c r="C51" s="19" t="s">
        <v>675</v>
      </c>
      <c r="D51" s="24"/>
      <c r="E51" s="20">
        <v>3000</v>
      </c>
      <c r="F51" s="21"/>
      <c r="G51" s="19" t="s">
        <v>323</v>
      </c>
      <c r="H51" s="22" t="s">
        <v>19</v>
      </c>
    </row>
    <row r="52" spans="1:8" x14ac:dyDescent="0.25">
      <c r="A52" s="17">
        <v>43655</v>
      </c>
      <c r="B52" s="18" t="s">
        <v>676</v>
      </c>
      <c r="C52" s="19" t="s">
        <v>677</v>
      </c>
      <c r="D52" s="24"/>
      <c r="E52" s="20">
        <v>1140</v>
      </c>
      <c r="F52" s="21"/>
      <c r="G52" s="19" t="s">
        <v>363</v>
      </c>
      <c r="H52" s="22" t="s">
        <v>19</v>
      </c>
    </row>
    <row r="53" spans="1:8" x14ac:dyDescent="0.25">
      <c r="A53" s="17">
        <v>43657</v>
      </c>
      <c r="B53" s="18" t="s">
        <v>678</v>
      </c>
      <c r="C53" s="19" t="s">
        <v>679</v>
      </c>
      <c r="D53" s="24"/>
      <c r="E53" s="20">
        <v>660</v>
      </c>
      <c r="F53" s="21"/>
      <c r="G53" s="19" t="s">
        <v>644</v>
      </c>
      <c r="H53" s="22" t="s">
        <v>19</v>
      </c>
    </row>
    <row r="54" spans="1:8" x14ac:dyDescent="0.25">
      <c r="A54" s="17">
        <v>43659</v>
      </c>
      <c r="B54" s="18" t="s">
        <v>680</v>
      </c>
      <c r="C54" s="19" t="s">
        <v>681</v>
      </c>
      <c r="D54" s="24"/>
      <c r="E54" s="20">
        <f>1180+319</f>
        <v>1499</v>
      </c>
      <c r="F54" s="21"/>
      <c r="G54" s="19" t="s">
        <v>24</v>
      </c>
      <c r="H54" s="22" t="s">
        <v>19</v>
      </c>
    </row>
    <row r="55" spans="1:8" x14ac:dyDescent="0.25">
      <c r="A55" s="17">
        <v>43663</v>
      </c>
      <c r="B55" s="18"/>
      <c r="C55" s="19" t="s">
        <v>42</v>
      </c>
      <c r="D55" s="24">
        <v>10000</v>
      </c>
      <c r="E55" s="20"/>
      <c r="F55" s="21"/>
      <c r="G55" s="19" t="s">
        <v>19</v>
      </c>
      <c r="H55" s="22" t="s">
        <v>20</v>
      </c>
    </row>
    <row r="56" spans="1:8" x14ac:dyDescent="0.25">
      <c r="A56" s="17">
        <v>43663</v>
      </c>
      <c r="B56" s="18" t="s">
        <v>682</v>
      </c>
      <c r="C56" s="19" t="s">
        <v>683</v>
      </c>
      <c r="D56" s="24"/>
      <c r="E56" s="20">
        <v>3082</v>
      </c>
      <c r="F56" s="21"/>
      <c r="G56" s="19" t="s">
        <v>684</v>
      </c>
      <c r="H56" s="22" t="s">
        <v>19</v>
      </c>
    </row>
    <row r="57" spans="1:8" ht="23" x14ac:dyDescent="0.25">
      <c r="A57" s="17">
        <v>43663</v>
      </c>
      <c r="B57" s="18" t="s">
        <v>685</v>
      </c>
      <c r="C57" s="19" t="s">
        <v>686</v>
      </c>
      <c r="D57" s="24"/>
      <c r="E57" s="20">
        <v>1543</v>
      </c>
      <c r="F57" s="21"/>
      <c r="G57" s="19" t="s">
        <v>684</v>
      </c>
      <c r="H57" s="22" t="s">
        <v>19</v>
      </c>
    </row>
    <row r="58" spans="1:8" x14ac:dyDescent="0.25">
      <c r="A58" s="17">
        <v>43663</v>
      </c>
      <c r="B58" s="18" t="s">
        <v>687</v>
      </c>
      <c r="C58" s="19" t="s">
        <v>688</v>
      </c>
      <c r="D58" s="24"/>
      <c r="E58" s="20">
        <v>200</v>
      </c>
      <c r="F58" s="21"/>
      <c r="G58" s="19" t="s">
        <v>19</v>
      </c>
      <c r="H58" s="22" t="s">
        <v>19</v>
      </c>
    </row>
    <row r="59" spans="1:8" x14ac:dyDescent="0.25">
      <c r="A59" s="17">
        <v>43668</v>
      </c>
      <c r="B59" s="18" t="s">
        <v>689</v>
      </c>
      <c r="C59" s="19" t="s">
        <v>690</v>
      </c>
      <c r="D59" s="24"/>
      <c r="E59" s="20">
        <v>508</v>
      </c>
      <c r="F59" s="21"/>
      <c r="G59" s="19" t="s">
        <v>691</v>
      </c>
      <c r="H59" s="22" t="s">
        <v>19</v>
      </c>
    </row>
    <row r="60" spans="1:8" x14ac:dyDescent="0.25">
      <c r="A60" s="17">
        <v>43668</v>
      </c>
      <c r="B60" s="18" t="s">
        <v>692</v>
      </c>
      <c r="C60" s="19" t="s">
        <v>693</v>
      </c>
      <c r="D60" s="24"/>
      <c r="E60" s="20">
        <v>6814</v>
      </c>
      <c r="F60" s="21"/>
      <c r="G60" s="19" t="s">
        <v>694</v>
      </c>
      <c r="H60" s="22" t="s">
        <v>19</v>
      </c>
    </row>
    <row r="61" spans="1:8" x14ac:dyDescent="0.25">
      <c r="A61" s="17">
        <v>43676</v>
      </c>
      <c r="B61" s="18"/>
      <c r="C61" s="19" t="s">
        <v>42</v>
      </c>
      <c r="D61" s="24">
        <v>10000</v>
      </c>
      <c r="E61" s="20"/>
      <c r="F61" s="21"/>
      <c r="G61" s="19" t="s">
        <v>19</v>
      </c>
      <c r="H61" s="22" t="s">
        <v>20</v>
      </c>
    </row>
    <row r="62" spans="1:8" x14ac:dyDescent="0.25">
      <c r="A62" s="17">
        <v>43676</v>
      </c>
      <c r="B62" s="18" t="s">
        <v>695</v>
      </c>
      <c r="C62" s="19" t="s">
        <v>609</v>
      </c>
      <c r="D62" s="24"/>
      <c r="E62" s="20">
        <v>186</v>
      </c>
      <c r="F62" s="21"/>
      <c r="G62" s="19" t="s">
        <v>696</v>
      </c>
      <c r="H62" s="22" t="s">
        <v>19</v>
      </c>
    </row>
    <row r="63" spans="1:8" x14ac:dyDescent="0.25">
      <c r="A63" s="17">
        <v>43678</v>
      </c>
      <c r="B63" s="18" t="s">
        <v>697</v>
      </c>
      <c r="C63" s="19" t="s">
        <v>698</v>
      </c>
      <c r="D63" s="24"/>
      <c r="E63" s="20">
        <v>1491</v>
      </c>
      <c r="F63" s="21"/>
      <c r="G63" s="19" t="s">
        <v>699</v>
      </c>
      <c r="H63" s="22" t="s">
        <v>19</v>
      </c>
    </row>
    <row r="64" spans="1:8" x14ac:dyDescent="0.25">
      <c r="A64" s="17">
        <v>43678</v>
      </c>
      <c r="B64" s="18" t="s">
        <v>700</v>
      </c>
      <c r="C64" s="19" t="s">
        <v>609</v>
      </c>
      <c r="D64" s="24"/>
      <c r="E64" s="20">
        <v>60</v>
      </c>
      <c r="F64" s="21"/>
      <c r="G64" s="19" t="s">
        <v>701</v>
      </c>
      <c r="H64" s="22" t="s">
        <v>19</v>
      </c>
    </row>
    <row r="65" spans="1:8" x14ac:dyDescent="0.25">
      <c r="A65" s="17">
        <v>43680</v>
      </c>
      <c r="B65" s="18" t="s">
        <v>702</v>
      </c>
      <c r="C65" s="19" t="s">
        <v>703</v>
      </c>
      <c r="D65" s="24"/>
      <c r="E65" s="20">
        <v>707</v>
      </c>
      <c r="F65" s="21"/>
      <c r="G65" s="19" t="s">
        <v>326</v>
      </c>
      <c r="H65" s="22" t="s">
        <v>19</v>
      </c>
    </row>
    <row r="66" spans="1:8" x14ac:dyDescent="0.25">
      <c r="A66" s="17">
        <v>43681</v>
      </c>
      <c r="B66" s="18" t="s">
        <v>704</v>
      </c>
      <c r="C66" s="19" t="s">
        <v>626</v>
      </c>
      <c r="D66" s="24"/>
      <c r="E66" s="20">
        <v>1344</v>
      </c>
      <c r="F66" s="21"/>
      <c r="G66" s="19" t="s">
        <v>619</v>
      </c>
      <c r="H66" s="22" t="s">
        <v>19</v>
      </c>
    </row>
    <row r="67" spans="1:8" x14ac:dyDescent="0.25">
      <c r="A67" s="17">
        <v>43690</v>
      </c>
      <c r="B67" s="18" t="s">
        <v>705</v>
      </c>
      <c r="C67" s="19" t="s">
        <v>600</v>
      </c>
      <c r="D67" s="24"/>
      <c r="E67" s="20">
        <f>459*2</f>
        <v>918</v>
      </c>
      <c r="F67" s="21"/>
      <c r="G67" s="19" t="s">
        <v>601</v>
      </c>
      <c r="H67" s="22" t="s">
        <v>19</v>
      </c>
    </row>
    <row r="68" spans="1:8" x14ac:dyDescent="0.25">
      <c r="A68" s="17">
        <v>43691</v>
      </c>
      <c r="B68" s="18" t="s">
        <v>706</v>
      </c>
      <c r="C68" s="19" t="s">
        <v>707</v>
      </c>
      <c r="D68" s="24"/>
      <c r="E68" s="20">
        <v>353</v>
      </c>
      <c r="F68" s="21"/>
      <c r="G68" s="19" t="s">
        <v>152</v>
      </c>
      <c r="H68" s="22" t="s">
        <v>19</v>
      </c>
    </row>
    <row r="69" spans="1:8" x14ac:dyDescent="0.25">
      <c r="A69" s="17">
        <v>43691</v>
      </c>
      <c r="B69" s="18" t="s">
        <v>708</v>
      </c>
      <c r="C69" s="19" t="s">
        <v>709</v>
      </c>
      <c r="D69" s="24"/>
      <c r="E69" s="20">
        <v>3000</v>
      </c>
      <c r="F69" s="21"/>
      <c r="G69" s="19" t="s">
        <v>323</v>
      </c>
      <c r="H69" s="22" t="s">
        <v>19</v>
      </c>
    </row>
    <row r="70" spans="1:8" x14ac:dyDescent="0.25">
      <c r="A70" s="17">
        <v>43691</v>
      </c>
      <c r="B70" s="18" t="s">
        <v>710</v>
      </c>
      <c r="C70" s="19" t="s">
        <v>711</v>
      </c>
      <c r="D70" s="24"/>
      <c r="E70" s="20">
        <f>495+960+50+50</f>
        <v>1555</v>
      </c>
      <c r="F70" s="21"/>
      <c r="G70" s="19" t="s">
        <v>499</v>
      </c>
      <c r="H70" s="22" t="s">
        <v>19</v>
      </c>
    </row>
    <row r="71" spans="1:8" x14ac:dyDescent="0.25">
      <c r="A71" s="17">
        <v>43696</v>
      </c>
      <c r="B71" s="31"/>
      <c r="C71" s="19" t="s">
        <v>42</v>
      </c>
      <c r="D71" s="24">
        <v>5000</v>
      </c>
      <c r="E71" s="20"/>
      <c r="F71" s="21"/>
      <c r="G71" s="19" t="s">
        <v>19</v>
      </c>
      <c r="H71" s="22" t="s">
        <v>20</v>
      </c>
    </row>
    <row r="72" spans="1:8" x14ac:dyDescent="0.25">
      <c r="A72" s="17">
        <v>43696</v>
      </c>
      <c r="B72" s="18" t="s">
        <v>712</v>
      </c>
      <c r="C72" s="19" t="s">
        <v>713</v>
      </c>
      <c r="D72" s="24"/>
      <c r="E72" s="20">
        <v>1020</v>
      </c>
      <c r="F72" s="21"/>
      <c r="G72" s="19" t="s">
        <v>65</v>
      </c>
      <c r="H72" s="22" t="s">
        <v>19</v>
      </c>
    </row>
    <row r="73" spans="1:8" x14ac:dyDescent="0.25">
      <c r="A73" s="17">
        <v>43709</v>
      </c>
      <c r="B73" s="18"/>
      <c r="C73" s="19" t="s">
        <v>42</v>
      </c>
      <c r="D73" s="24">
        <v>10000</v>
      </c>
      <c r="E73" s="20"/>
      <c r="F73" s="21"/>
      <c r="G73" s="19" t="s">
        <v>19</v>
      </c>
      <c r="H73" s="22" t="s">
        <v>20</v>
      </c>
    </row>
    <row r="74" spans="1:8" x14ac:dyDescent="0.25">
      <c r="A74" s="17">
        <v>43709</v>
      </c>
      <c r="B74" s="18" t="s">
        <v>714</v>
      </c>
      <c r="C74" s="19" t="s">
        <v>715</v>
      </c>
      <c r="D74" s="24"/>
      <c r="E74" s="20">
        <v>713</v>
      </c>
      <c r="F74" s="21"/>
      <c r="G74" s="19" t="s">
        <v>326</v>
      </c>
      <c r="H74" s="22" t="s">
        <v>19</v>
      </c>
    </row>
    <row r="75" spans="1:8" x14ac:dyDescent="0.25">
      <c r="A75" s="17">
        <v>43724</v>
      </c>
      <c r="B75" s="18" t="s">
        <v>716</v>
      </c>
      <c r="C75" s="19" t="s">
        <v>717</v>
      </c>
      <c r="D75" s="24"/>
      <c r="E75" s="20">
        <f>2700</f>
        <v>2700</v>
      </c>
      <c r="F75" s="21"/>
      <c r="G75" s="19" t="s">
        <v>363</v>
      </c>
      <c r="H75" s="22" t="s">
        <v>19</v>
      </c>
    </row>
    <row r="76" spans="1:8" x14ac:dyDescent="0.25">
      <c r="A76" s="17">
        <v>43725</v>
      </c>
      <c r="B76" s="18" t="s">
        <v>718</v>
      </c>
      <c r="C76" s="19" t="s">
        <v>719</v>
      </c>
      <c r="D76" s="24"/>
      <c r="E76" s="20">
        <f>1350+3850</f>
        <v>5200</v>
      </c>
      <c r="F76" s="21"/>
      <c r="G76" s="19" t="s">
        <v>302</v>
      </c>
      <c r="H76" s="22" t="s">
        <v>19</v>
      </c>
    </row>
    <row r="77" spans="1:8" x14ac:dyDescent="0.25">
      <c r="A77" s="17">
        <v>43725</v>
      </c>
      <c r="B77" s="18" t="s">
        <v>720</v>
      </c>
      <c r="C77" s="19" t="s">
        <v>721</v>
      </c>
      <c r="D77" s="24"/>
      <c r="E77" s="20">
        <v>389</v>
      </c>
      <c r="F77" s="21"/>
      <c r="G77" s="19" t="s">
        <v>152</v>
      </c>
      <c r="H77" s="22" t="s">
        <v>19</v>
      </c>
    </row>
    <row r="78" spans="1:8" x14ac:dyDescent="0.25">
      <c r="A78" s="17">
        <v>43725</v>
      </c>
      <c r="B78" s="18" t="s">
        <v>722</v>
      </c>
      <c r="C78" s="19" t="s">
        <v>723</v>
      </c>
      <c r="D78" s="24"/>
      <c r="E78" s="20">
        <v>3000</v>
      </c>
      <c r="F78" s="21"/>
      <c r="G78" s="19" t="s">
        <v>323</v>
      </c>
      <c r="H78" s="22" t="s">
        <v>19</v>
      </c>
    </row>
    <row r="79" spans="1:8" x14ac:dyDescent="0.25">
      <c r="A79" s="17">
        <v>43727</v>
      </c>
      <c r="B79" s="18" t="s">
        <v>724</v>
      </c>
      <c r="C79" s="19" t="s">
        <v>725</v>
      </c>
      <c r="D79" s="24"/>
      <c r="E79" s="20">
        <v>499</v>
      </c>
      <c r="F79" s="21"/>
      <c r="G79" s="19" t="s">
        <v>726</v>
      </c>
      <c r="H79" s="22" t="s">
        <v>19</v>
      </c>
    </row>
    <row r="80" spans="1:8" x14ac:dyDescent="0.25">
      <c r="A80" s="17">
        <v>43728</v>
      </c>
      <c r="B80" s="18" t="s">
        <v>727</v>
      </c>
      <c r="C80" s="19" t="s">
        <v>728</v>
      </c>
      <c r="D80" s="24"/>
      <c r="E80" s="20">
        <v>293</v>
      </c>
      <c r="F80" s="21"/>
      <c r="G80" s="19" t="s">
        <v>152</v>
      </c>
      <c r="H80" s="22" t="s">
        <v>19</v>
      </c>
    </row>
    <row r="81" spans="1:8" x14ac:dyDescent="0.25">
      <c r="A81" s="17">
        <v>43732</v>
      </c>
      <c r="B81" s="18"/>
      <c r="C81" s="19" t="s">
        <v>42</v>
      </c>
      <c r="D81" s="24">
        <v>5000</v>
      </c>
      <c r="E81" s="20"/>
      <c r="F81" s="21"/>
      <c r="G81" s="19" t="s">
        <v>19</v>
      </c>
      <c r="H81" s="22" t="s">
        <v>20</v>
      </c>
    </row>
    <row r="82" spans="1:8" x14ac:dyDescent="0.25">
      <c r="A82" s="17">
        <v>43732</v>
      </c>
      <c r="B82" s="18" t="s">
        <v>729</v>
      </c>
      <c r="C82" s="19" t="s">
        <v>730</v>
      </c>
      <c r="D82" s="24"/>
      <c r="E82" s="20">
        <v>420</v>
      </c>
      <c r="F82" s="21"/>
      <c r="G82" s="19" t="s">
        <v>731</v>
      </c>
      <c r="H82" s="22" t="s">
        <v>19</v>
      </c>
    </row>
    <row r="83" spans="1:8" x14ac:dyDescent="0.25">
      <c r="A83" s="17">
        <v>43733</v>
      </c>
      <c r="B83" s="18" t="s">
        <v>732</v>
      </c>
      <c r="C83" s="19" t="s">
        <v>733</v>
      </c>
      <c r="D83" s="24"/>
      <c r="E83" s="20">
        <f>120+95</f>
        <v>215</v>
      </c>
      <c r="F83" s="21"/>
      <c r="G83" s="19" t="s">
        <v>499</v>
      </c>
      <c r="H83" s="22" t="s">
        <v>19</v>
      </c>
    </row>
    <row r="84" spans="1:8" x14ac:dyDescent="0.25">
      <c r="A84" s="17">
        <v>43733</v>
      </c>
      <c r="B84" s="18" t="s">
        <v>734</v>
      </c>
      <c r="C84" s="19" t="s">
        <v>735</v>
      </c>
      <c r="D84" s="24"/>
      <c r="E84" s="20">
        <v>1500</v>
      </c>
      <c r="F84" s="21"/>
      <c r="G84" s="19" t="s">
        <v>736</v>
      </c>
      <c r="H84" s="22" t="s">
        <v>19</v>
      </c>
    </row>
    <row r="85" spans="1:8" x14ac:dyDescent="0.25">
      <c r="A85" s="17">
        <v>43733</v>
      </c>
      <c r="B85" s="18" t="s">
        <v>737</v>
      </c>
      <c r="C85" s="19" t="s">
        <v>23</v>
      </c>
      <c r="D85" s="24"/>
      <c r="E85" s="20">
        <v>275</v>
      </c>
      <c r="F85" s="21"/>
      <c r="G85" s="19" t="s">
        <v>46</v>
      </c>
      <c r="H85" s="22" t="s">
        <v>19</v>
      </c>
    </row>
    <row r="86" spans="1:8" x14ac:dyDescent="0.25">
      <c r="A86" s="17">
        <v>43744</v>
      </c>
      <c r="B86" s="18" t="s">
        <v>738</v>
      </c>
      <c r="C86" s="19" t="s">
        <v>739</v>
      </c>
      <c r="D86" s="24"/>
      <c r="E86" s="20">
        <v>713</v>
      </c>
      <c r="F86" s="21"/>
      <c r="G86" s="19" t="s">
        <v>326</v>
      </c>
      <c r="H86" s="22" t="s">
        <v>19</v>
      </c>
    </row>
    <row r="87" spans="1:8" x14ac:dyDescent="0.25">
      <c r="A87" s="17">
        <v>43745</v>
      </c>
      <c r="B87" s="18" t="s">
        <v>740</v>
      </c>
      <c r="C87" s="19" t="s">
        <v>741</v>
      </c>
      <c r="D87" s="24"/>
      <c r="E87" s="20">
        <v>799</v>
      </c>
      <c r="F87" s="21"/>
      <c r="G87" s="19" t="s">
        <v>726</v>
      </c>
      <c r="H87" s="22" t="s">
        <v>19</v>
      </c>
    </row>
    <row r="88" spans="1:8" x14ac:dyDescent="0.25">
      <c r="A88" s="17">
        <v>43747</v>
      </c>
      <c r="B88" s="18" t="s">
        <v>742</v>
      </c>
      <c r="C88" s="19" t="s">
        <v>743</v>
      </c>
      <c r="D88" s="24"/>
      <c r="E88" s="20">
        <v>3000</v>
      </c>
      <c r="F88" s="21"/>
      <c r="G88" s="19" t="s">
        <v>323</v>
      </c>
      <c r="H88" s="22" t="s">
        <v>19</v>
      </c>
    </row>
    <row r="89" spans="1:8" x14ac:dyDescent="0.25">
      <c r="A89" s="17">
        <v>43748</v>
      </c>
      <c r="B89" s="18" t="s">
        <v>744</v>
      </c>
      <c r="C89" s="19" t="s">
        <v>745</v>
      </c>
      <c r="D89" s="24"/>
      <c r="E89" s="20">
        <v>900</v>
      </c>
      <c r="F89" s="21"/>
      <c r="G89" s="19" t="s">
        <v>65</v>
      </c>
      <c r="H89" s="22" t="s">
        <v>19</v>
      </c>
    </row>
    <row r="90" spans="1:8" x14ac:dyDescent="0.25">
      <c r="A90" s="17">
        <v>43757</v>
      </c>
      <c r="B90" s="18"/>
      <c r="C90" s="19" t="s">
        <v>42</v>
      </c>
      <c r="D90" s="24">
        <v>5000</v>
      </c>
      <c r="E90" s="20"/>
      <c r="F90" s="21"/>
      <c r="G90" s="19" t="s">
        <v>19</v>
      </c>
      <c r="H90" s="22" t="s">
        <v>20</v>
      </c>
    </row>
    <row r="91" spans="1:8" x14ac:dyDescent="0.25">
      <c r="A91" s="17">
        <v>43758</v>
      </c>
      <c r="B91" s="18" t="s">
        <v>746</v>
      </c>
      <c r="C91" s="19" t="s">
        <v>23</v>
      </c>
      <c r="D91" s="24"/>
      <c r="E91" s="20">
        <v>1012</v>
      </c>
      <c r="F91" s="21"/>
      <c r="G91" s="19" t="s">
        <v>46</v>
      </c>
      <c r="H91" s="22" t="s">
        <v>19</v>
      </c>
    </row>
    <row r="92" spans="1:8" ht="23" x14ac:dyDescent="0.25">
      <c r="A92" s="17">
        <v>43760</v>
      </c>
      <c r="B92" s="18" t="s">
        <v>747</v>
      </c>
      <c r="C92" s="19" t="s">
        <v>748</v>
      </c>
      <c r="D92" s="24"/>
      <c r="E92" s="20">
        <v>120</v>
      </c>
      <c r="F92" s="21"/>
      <c r="G92" s="19" t="s">
        <v>614</v>
      </c>
      <c r="H92" s="22" t="s">
        <v>19</v>
      </c>
    </row>
    <row r="93" spans="1:8" x14ac:dyDescent="0.25">
      <c r="A93" s="17">
        <v>43764</v>
      </c>
      <c r="B93" s="18" t="s">
        <v>749</v>
      </c>
      <c r="C93" s="19" t="s">
        <v>23</v>
      </c>
      <c r="D93" s="24"/>
      <c r="E93" s="20">
        <v>1251</v>
      </c>
      <c r="F93" s="21"/>
      <c r="G93" s="19" t="s">
        <v>46</v>
      </c>
      <c r="H93" s="22" t="s">
        <v>19</v>
      </c>
    </row>
    <row r="94" spans="1:8" x14ac:dyDescent="0.25">
      <c r="A94" s="17">
        <v>43767</v>
      </c>
      <c r="B94" s="18" t="s">
        <v>750</v>
      </c>
      <c r="C94" s="19" t="s">
        <v>751</v>
      </c>
      <c r="D94" s="24"/>
      <c r="E94" s="20">
        <v>2100</v>
      </c>
      <c r="F94" s="21"/>
      <c r="G94" s="19" t="s">
        <v>363</v>
      </c>
      <c r="H94" s="22" t="s">
        <v>19</v>
      </c>
    </row>
    <row r="95" spans="1:8" x14ac:dyDescent="0.25">
      <c r="A95" s="17">
        <v>43768</v>
      </c>
      <c r="B95" s="18"/>
      <c r="C95" s="19" t="s">
        <v>42</v>
      </c>
      <c r="D95" s="24">
        <v>5000</v>
      </c>
      <c r="E95" s="20"/>
      <c r="F95" s="21"/>
      <c r="G95" s="19" t="s">
        <v>19</v>
      </c>
      <c r="H95" s="22" t="s">
        <v>20</v>
      </c>
    </row>
    <row r="96" spans="1:8" x14ac:dyDescent="0.25">
      <c r="A96" s="17">
        <v>43777</v>
      </c>
      <c r="B96" s="18" t="s">
        <v>752</v>
      </c>
      <c r="C96" s="19" t="s">
        <v>753</v>
      </c>
      <c r="D96" s="24"/>
      <c r="E96" s="20">
        <v>318</v>
      </c>
      <c r="F96" s="21"/>
      <c r="G96" s="19" t="s">
        <v>152</v>
      </c>
      <c r="H96" s="22" t="s">
        <v>19</v>
      </c>
    </row>
    <row r="97" spans="1:8" x14ac:dyDescent="0.25">
      <c r="A97" s="17">
        <v>43777</v>
      </c>
      <c r="B97" s="18" t="s">
        <v>754</v>
      </c>
      <c r="C97" s="19" t="s">
        <v>613</v>
      </c>
      <c r="D97" s="24"/>
      <c r="E97" s="20">
        <v>150</v>
      </c>
      <c r="F97" s="21"/>
      <c r="G97" s="19" t="s">
        <v>614</v>
      </c>
      <c r="H97" s="22" t="s">
        <v>19</v>
      </c>
    </row>
    <row r="98" spans="1:8" x14ac:dyDescent="0.25">
      <c r="A98" s="17">
        <v>43777</v>
      </c>
      <c r="B98" s="18" t="s">
        <v>755</v>
      </c>
      <c r="C98" s="19" t="s">
        <v>756</v>
      </c>
      <c r="D98" s="24"/>
      <c r="E98" s="20">
        <v>2400</v>
      </c>
      <c r="F98" s="21"/>
      <c r="G98" s="19" t="s">
        <v>757</v>
      </c>
      <c r="H98" s="22" t="s">
        <v>19</v>
      </c>
    </row>
    <row r="99" spans="1:8" x14ac:dyDescent="0.25">
      <c r="A99" s="17">
        <v>43777</v>
      </c>
      <c r="B99" s="18" t="s">
        <v>758</v>
      </c>
      <c r="C99" s="19" t="s">
        <v>759</v>
      </c>
      <c r="D99" s="24"/>
      <c r="E99" s="20">
        <v>713</v>
      </c>
      <c r="F99" s="21"/>
      <c r="G99" s="19" t="s">
        <v>326</v>
      </c>
      <c r="H99" s="22" t="s">
        <v>19</v>
      </c>
    </row>
    <row r="100" spans="1:8" x14ac:dyDescent="0.25">
      <c r="A100" s="17">
        <v>43777</v>
      </c>
      <c r="B100" s="18" t="s">
        <v>760</v>
      </c>
      <c r="C100" s="19" t="s">
        <v>626</v>
      </c>
      <c r="D100" s="24"/>
      <c r="E100" s="20">
        <v>1077</v>
      </c>
      <c r="F100" s="21"/>
      <c r="G100" s="19" t="s">
        <v>619</v>
      </c>
      <c r="H100" s="22" t="s">
        <v>19</v>
      </c>
    </row>
    <row r="101" spans="1:8" x14ac:dyDescent="0.25">
      <c r="A101" s="17">
        <v>43777</v>
      </c>
      <c r="B101" s="18"/>
      <c r="C101" s="19" t="s">
        <v>42</v>
      </c>
      <c r="D101" s="24">
        <v>5000</v>
      </c>
      <c r="E101" s="20"/>
      <c r="F101" s="21"/>
      <c r="G101" s="19" t="s">
        <v>19</v>
      </c>
      <c r="H101" s="22" t="s">
        <v>20</v>
      </c>
    </row>
    <row r="102" spans="1:8" x14ac:dyDescent="0.25">
      <c r="A102" s="17">
        <v>43777</v>
      </c>
      <c r="B102" s="18" t="s">
        <v>761</v>
      </c>
      <c r="C102" s="19" t="s">
        <v>762</v>
      </c>
      <c r="D102" s="24"/>
      <c r="E102" s="20">
        <v>3000</v>
      </c>
      <c r="F102" s="21"/>
      <c r="G102" s="19" t="s">
        <v>323</v>
      </c>
      <c r="H102" s="22" t="s">
        <v>19</v>
      </c>
    </row>
    <row r="103" spans="1:8" x14ac:dyDescent="0.25">
      <c r="A103" s="17">
        <v>43777</v>
      </c>
      <c r="B103" s="18" t="s">
        <v>763</v>
      </c>
      <c r="C103" s="19" t="s">
        <v>609</v>
      </c>
      <c r="D103" s="24"/>
      <c r="E103" s="20">
        <v>754</v>
      </c>
      <c r="F103" s="21"/>
      <c r="G103" s="19" t="s">
        <v>764</v>
      </c>
      <c r="H103" s="22" t="s">
        <v>19</v>
      </c>
    </row>
    <row r="104" spans="1:8" x14ac:dyDescent="0.25">
      <c r="A104" s="17">
        <v>43788</v>
      </c>
      <c r="B104" s="18"/>
      <c r="C104" s="19" t="s">
        <v>42</v>
      </c>
      <c r="D104" s="24">
        <v>5000</v>
      </c>
      <c r="E104" s="20"/>
      <c r="F104" s="21"/>
      <c r="G104" s="19" t="s">
        <v>19</v>
      </c>
      <c r="H104" s="22" t="s">
        <v>20</v>
      </c>
    </row>
    <row r="105" spans="1:8" x14ac:dyDescent="0.25">
      <c r="A105" s="17">
        <v>43799</v>
      </c>
      <c r="B105" s="18" t="s">
        <v>765</v>
      </c>
      <c r="C105" s="19" t="s">
        <v>766</v>
      </c>
      <c r="D105" s="24"/>
      <c r="E105" s="20">
        <v>713</v>
      </c>
      <c r="F105" s="21"/>
      <c r="G105" s="19" t="s">
        <v>326</v>
      </c>
      <c r="H105" s="22" t="s">
        <v>19</v>
      </c>
    </row>
    <row r="106" spans="1:8" ht="23" x14ac:dyDescent="0.25">
      <c r="A106" s="17">
        <v>43802</v>
      </c>
      <c r="B106" s="18" t="s">
        <v>767</v>
      </c>
      <c r="C106" s="19" t="s">
        <v>768</v>
      </c>
      <c r="D106" s="24"/>
      <c r="E106" s="20">
        <v>1142</v>
      </c>
      <c r="F106" s="21"/>
      <c r="G106" s="19" t="s">
        <v>152</v>
      </c>
      <c r="H106" s="22" t="s">
        <v>19</v>
      </c>
    </row>
    <row r="107" spans="1:8" x14ac:dyDescent="0.25">
      <c r="A107" s="17">
        <v>43802</v>
      </c>
      <c r="B107" s="18"/>
      <c r="C107" s="19" t="s">
        <v>42</v>
      </c>
      <c r="D107" s="24">
        <v>5000</v>
      </c>
      <c r="E107" s="20"/>
      <c r="F107" s="21"/>
      <c r="G107" s="19" t="s">
        <v>19</v>
      </c>
      <c r="H107" s="22" t="s">
        <v>20</v>
      </c>
    </row>
    <row r="108" spans="1:8" x14ac:dyDescent="0.25">
      <c r="A108" s="17">
        <v>43802</v>
      </c>
      <c r="B108" s="18" t="s">
        <v>769</v>
      </c>
      <c r="C108" s="19" t="s">
        <v>770</v>
      </c>
      <c r="D108" s="24"/>
      <c r="E108" s="20">
        <v>3000</v>
      </c>
      <c r="F108" s="21"/>
      <c r="G108" s="19" t="s">
        <v>323</v>
      </c>
      <c r="H108" s="22" t="s">
        <v>19</v>
      </c>
    </row>
    <row r="109" spans="1:8" x14ac:dyDescent="0.25">
      <c r="A109" s="17">
        <v>43808</v>
      </c>
      <c r="B109" s="18" t="s">
        <v>771</v>
      </c>
      <c r="C109" s="19" t="s">
        <v>772</v>
      </c>
      <c r="D109" s="24"/>
      <c r="E109" s="20">
        <v>2972</v>
      </c>
      <c r="F109" s="21"/>
      <c r="G109" s="19" t="s">
        <v>773</v>
      </c>
      <c r="H109" s="22" t="s">
        <v>19</v>
      </c>
    </row>
    <row r="110" spans="1:8" x14ac:dyDescent="0.25">
      <c r="A110" s="17">
        <v>43810</v>
      </c>
      <c r="B110" s="18" t="s">
        <v>774</v>
      </c>
      <c r="C110" s="19" t="s">
        <v>775</v>
      </c>
      <c r="D110" s="24"/>
      <c r="E110" s="20">
        <v>1500</v>
      </c>
      <c r="F110" s="21"/>
      <c r="G110" s="19" t="s">
        <v>65</v>
      </c>
      <c r="H110" s="22" t="s">
        <v>19</v>
      </c>
    </row>
    <row r="111" spans="1:8" x14ac:dyDescent="0.25">
      <c r="A111" s="17">
        <v>43810</v>
      </c>
      <c r="B111" s="18"/>
      <c r="C111" s="19" t="s">
        <v>42</v>
      </c>
      <c r="D111" s="24">
        <v>4000</v>
      </c>
      <c r="E111" s="20"/>
      <c r="F111" s="21"/>
      <c r="G111" s="19" t="s">
        <v>19</v>
      </c>
      <c r="H111" s="22" t="s">
        <v>20</v>
      </c>
    </row>
    <row r="112" spans="1:8" x14ac:dyDescent="0.25">
      <c r="A112" s="17">
        <v>43812</v>
      </c>
      <c r="B112" s="18" t="s">
        <v>776</v>
      </c>
      <c r="C112" s="19" t="s">
        <v>777</v>
      </c>
      <c r="D112" s="24"/>
      <c r="E112" s="20">
        <v>600</v>
      </c>
      <c r="F112" s="21"/>
      <c r="G112" s="19" t="s">
        <v>233</v>
      </c>
      <c r="H112" s="22" t="s">
        <v>19</v>
      </c>
    </row>
    <row r="113" spans="1:8" x14ac:dyDescent="0.25">
      <c r="A113" s="17">
        <v>43812</v>
      </c>
      <c r="B113" s="18" t="s">
        <v>778</v>
      </c>
      <c r="C113" s="19" t="s">
        <v>779</v>
      </c>
      <c r="D113" s="24"/>
      <c r="E113" s="20">
        <v>2520</v>
      </c>
      <c r="F113" s="21"/>
      <c r="G113" s="19" t="s">
        <v>363</v>
      </c>
      <c r="H113" s="22" t="s">
        <v>19</v>
      </c>
    </row>
    <row r="114" spans="1:8" x14ac:dyDescent="0.25">
      <c r="A114" s="17">
        <v>43815</v>
      </c>
      <c r="B114" s="18" t="s">
        <v>780</v>
      </c>
      <c r="C114" s="19" t="s">
        <v>781</v>
      </c>
      <c r="D114" s="24"/>
      <c r="E114" s="20">
        <v>68</v>
      </c>
      <c r="F114" s="21"/>
      <c r="G114" s="19" t="s">
        <v>152</v>
      </c>
      <c r="H114" s="22" t="s">
        <v>19</v>
      </c>
    </row>
    <row r="115" spans="1:8" x14ac:dyDescent="0.25">
      <c r="A115" s="32">
        <v>43815</v>
      </c>
      <c r="B115" s="18"/>
      <c r="C115" s="19" t="s">
        <v>42</v>
      </c>
      <c r="D115" s="24">
        <v>3000</v>
      </c>
      <c r="E115" s="20"/>
      <c r="F115" s="21"/>
      <c r="G115" s="19" t="s">
        <v>19</v>
      </c>
      <c r="H115" s="22" t="s">
        <v>20</v>
      </c>
    </row>
    <row r="116" spans="1:8" x14ac:dyDescent="0.25">
      <c r="A116" s="17">
        <v>43815</v>
      </c>
      <c r="B116" s="18" t="s">
        <v>782</v>
      </c>
      <c r="C116" s="19" t="s">
        <v>783</v>
      </c>
      <c r="D116" s="24"/>
      <c r="E116" s="20">
        <v>1212</v>
      </c>
      <c r="F116" s="21"/>
      <c r="G116" s="19" t="s">
        <v>46</v>
      </c>
      <c r="H116" s="22" t="s">
        <v>19</v>
      </c>
    </row>
    <row r="117" spans="1:8" x14ac:dyDescent="0.25">
      <c r="A117" s="17">
        <v>43822</v>
      </c>
      <c r="B117" s="18" t="s">
        <v>784</v>
      </c>
      <c r="C117" s="19" t="s">
        <v>785</v>
      </c>
      <c r="D117" s="24"/>
      <c r="E117" s="20">
        <v>3960</v>
      </c>
      <c r="F117" s="21"/>
      <c r="G117" s="19" t="s">
        <v>773</v>
      </c>
      <c r="H117" s="22" t="s">
        <v>19</v>
      </c>
    </row>
    <row r="118" spans="1:8" x14ac:dyDescent="0.25">
      <c r="A118" s="17">
        <v>43829</v>
      </c>
      <c r="B118" s="31"/>
      <c r="C118" s="19" t="s">
        <v>42</v>
      </c>
      <c r="D118" s="24">
        <v>3000</v>
      </c>
      <c r="E118" s="20"/>
      <c r="F118" s="21"/>
      <c r="G118" s="19" t="s">
        <v>19</v>
      </c>
      <c r="H118" s="22" t="s">
        <v>20</v>
      </c>
    </row>
    <row r="119" spans="1:8" x14ac:dyDescent="0.25">
      <c r="A119" s="17">
        <v>43832</v>
      </c>
      <c r="B119" s="18" t="s">
        <v>786</v>
      </c>
      <c r="C119" s="19" t="s">
        <v>787</v>
      </c>
      <c r="D119" s="24"/>
      <c r="E119" s="20">
        <v>100</v>
      </c>
      <c r="F119" s="21"/>
      <c r="G119" s="19" t="s">
        <v>614</v>
      </c>
      <c r="H119" s="22" t="s">
        <v>19</v>
      </c>
    </row>
    <row r="120" spans="1:8" x14ac:dyDescent="0.25">
      <c r="A120" s="17">
        <v>43832</v>
      </c>
      <c r="B120" s="18" t="s">
        <v>788</v>
      </c>
      <c r="C120" s="19" t="s">
        <v>789</v>
      </c>
      <c r="D120" s="24"/>
      <c r="E120" s="20">
        <v>655</v>
      </c>
      <c r="F120" s="21"/>
      <c r="G120" s="19" t="s">
        <v>644</v>
      </c>
      <c r="H120" s="22" t="s">
        <v>19</v>
      </c>
    </row>
    <row r="121" spans="1:8" x14ac:dyDescent="0.25">
      <c r="A121" s="17">
        <v>43832</v>
      </c>
      <c r="B121" s="31"/>
      <c r="C121" s="19" t="s">
        <v>42</v>
      </c>
      <c r="D121" s="24">
        <v>7000</v>
      </c>
      <c r="E121" s="20"/>
      <c r="F121" s="21"/>
      <c r="G121" s="19" t="s">
        <v>19</v>
      </c>
      <c r="H121" s="22" t="s">
        <v>20</v>
      </c>
    </row>
    <row r="122" spans="1:8" x14ac:dyDescent="0.25">
      <c r="A122" s="17">
        <v>43833</v>
      </c>
      <c r="B122" s="18" t="s">
        <v>790</v>
      </c>
      <c r="C122" s="19" t="s">
        <v>791</v>
      </c>
      <c r="D122" s="24"/>
      <c r="E122" s="20">
        <v>300</v>
      </c>
      <c r="F122" s="21"/>
      <c r="G122" s="19" t="s">
        <v>792</v>
      </c>
      <c r="H122" s="22" t="s">
        <v>19</v>
      </c>
    </row>
    <row r="123" spans="1:8" x14ac:dyDescent="0.25">
      <c r="A123" s="17">
        <v>43837</v>
      </c>
      <c r="B123" s="18" t="s">
        <v>793</v>
      </c>
      <c r="C123" s="19" t="s">
        <v>794</v>
      </c>
      <c r="D123" s="24"/>
      <c r="E123" s="20">
        <v>614</v>
      </c>
      <c r="F123" s="21"/>
      <c r="G123" s="19" t="s">
        <v>46</v>
      </c>
      <c r="H123" s="22" t="s">
        <v>19</v>
      </c>
    </row>
    <row r="124" spans="1:8" x14ac:dyDescent="0.25">
      <c r="A124" s="17">
        <v>43837</v>
      </c>
      <c r="B124" s="18" t="s">
        <v>795</v>
      </c>
      <c r="C124" s="19" t="s">
        <v>600</v>
      </c>
      <c r="D124" s="24"/>
      <c r="E124" s="20">
        <v>379</v>
      </c>
      <c r="F124" s="21"/>
      <c r="G124" s="19" t="s">
        <v>601</v>
      </c>
      <c r="H124" s="22" t="s">
        <v>19</v>
      </c>
    </row>
    <row r="125" spans="1:8" x14ac:dyDescent="0.25">
      <c r="A125" s="17">
        <v>43837</v>
      </c>
      <c r="B125" s="18" t="s">
        <v>796</v>
      </c>
      <c r="C125" s="19" t="s">
        <v>797</v>
      </c>
      <c r="D125" s="24"/>
      <c r="E125" s="20">
        <v>712</v>
      </c>
      <c r="F125" s="21"/>
      <c r="G125" s="19" t="s">
        <v>326</v>
      </c>
      <c r="H125" s="22" t="s">
        <v>19</v>
      </c>
    </row>
    <row r="126" spans="1:8" x14ac:dyDescent="0.25">
      <c r="A126" s="17">
        <v>43839</v>
      </c>
      <c r="B126" s="18" t="s">
        <v>798</v>
      </c>
      <c r="C126" s="19" t="s">
        <v>799</v>
      </c>
      <c r="D126" s="24"/>
      <c r="E126" s="20">
        <v>60</v>
      </c>
      <c r="F126" s="21"/>
      <c r="G126" s="19" t="s">
        <v>800</v>
      </c>
      <c r="H126" s="22" t="s">
        <v>19</v>
      </c>
    </row>
    <row r="127" spans="1:8" x14ac:dyDescent="0.25">
      <c r="A127" s="17">
        <v>43844</v>
      </c>
      <c r="B127" s="18" t="s">
        <v>801</v>
      </c>
      <c r="C127" s="19" t="s">
        <v>802</v>
      </c>
      <c r="D127" s="24"/>
      <c r="E127" s="20">
        <v>3000</v>
      </c>
      <c r="F127" s="21"/>
      <c r="G127" s="19" t="s">
        <v>323</v>
      </c>
      <c r="H127" s="22" t="s">
        <v>19</v>
      </c>
    </row>
    <row r="128" spans="1:8" x14ac:dyDescent="0.25">
      <c r="A128" s="17">
        <v>43850</v>
      </c>
      <c r="B128" s="18" t="s">
        <v>803</v>
      </c>
      <c r="C128" s="19" t="s">
        <v>804</v>
      </c>
      <c r="D128" s="24"/>
      <c r="E128" s="20">
        <v>120</v>
      </c>
      <c r="F128" s="21"/>
      <c r="G128" s="19" t="s">
        <v>56</v>
      </c>
      <c r="H128" s="22" t="s">
        <v>19</v>
      </c>
    </row>
    <row r="129" spans="1:8" x14ac:dyDescent="0.25">
      <c r="A129" s="17">
        <v>43857</v>
      </c>
      <c r="B129" s="18" t="s">
        <v>805</v>
      </c>
      <c r="C129" s="19" t="s">
        <v>806</v>
      </c>
      <c r="D129" s="24"/>
      <c r="E129" s="20">
        <v>349</v>
      </c>
      <c r="F129" s="21"/>
      <c r="G129" s="19" t="s">
        <v>397</v>
      </c>
      <c r="H129" s="22" t="s">
        <v>19</v>
      </c>
    </row>
    <row r="130" spans="1:8" x14ac:dyDescent="0.25">
      <c r="A130" s="17">
        <v>43859</v>
      </c>
      <c r="B130" s="18" t="s">
        <v>807</v>
      </c>
      <c r="C130" s="19" t="s">
        <v>808</v>
      </c>
      <c r="D130" s="24"/>
      <c r="E130" s="20">
        <v>1920</v>
      </c>
      <c r="F130" s="21"/>
      <c r="G130" s="19" t="s">
        <v>363</v>
      </c>
      <c r="H130" s="22" t="s">
        <v>19</v>
      </c>
    </row>
    <row r="131" spans="1:8" x14ac:dyDescent="0.25">
      <c r="A131" s="17">
        <v>43863</v>
      </c>
      <c r="B131" s="18" t="s">
        <v>809</v>
      </c>
      <c r="C131" s="19" t="s">
        <v>810</v>
      </c>
      <c r="D131" s="24"/>
      <c r="E131" s="20">
        <v>713</v>
      </c>
      <c r="F131" s="21"/>
      <c r="G131" s="19" t="s">
        <v>326</v>
      </c>
      <c r="H131" s="22" t="s">
        <v>19</v>
      </c>
    </row>
    <row r="132" spans="1:8" x14ac:dyDescent="0.25">
      <c r="A132" s="17">
        <v>43875</v>
      </c>
      <c r="B132" s="18" t="s">
        <v>811</v>
      </c>
      <c r="C132" s="19" t="s">
        <v>812</v>
      </c>
      <c r="D132" s="24"/>
      <c r="E132" s="20">
        <v>3000</v>
      </c>
      <c r="F132" s="21"/>
      <c r="G132" s="19" t="s">
        <v>323</v>
      </c>
      <c r="H132" s="22" t="s">
        <v>19</v>
      </c>
    </row>
    <row r="133" spans="1:8" x14ac:dyDescent="0.25">
      <c r="A133" s="17">
        <v>43875</v>
      </c>
      <c r="B133" s="18" t="s">
        <v>813</v>
      </c>
      <c r="C133" s="19" t="s">
        <v>814</v>
      </c>
      <c r="D133" s="24"/>
      <c r="E133" s="20">
        <v>349</v>
      </c>
      <c r="F133" s="21"/>
      <c r="G133" s="19" t="s">
        <v>619</v>
      </c>
      <c r="H133" s="22" t="s">
        <v>19</v>
      </c>
    </row>
    <row r="134" spans="1:8" x14ac:dyDescent="0.25">
      <c r="A134" s="17">
        <v>43879</v>
      </c>
      <c r="B134" s="18"/>
      <c r="C134" s="19" t="s">
        <v>42</v>
      </c>
      <c r="D134" s="24">
        <v>6000</v>
      </c>
      <c r="E134" s="20"/>
      <c r="F134" s="21"/>
      <c r="G134" s="19" t="s">
        <v>19</v>
      </c>
      <c r="H134" s="22" t="s">
        <v>20</v>
      </c>
    </row>
    <row r="135" spans="1:8" x14ac:dyDescent="0.25">
      <c r="A135" s="17">
        <v>43880</v>
      </c>
      <c r="B135" s="18" t="s">
        <v>815</v>
      </c>
      <c r="C135" s="19" t="s">
        <v>816</v>
      </c>
      <c r="D135" s="24"/>
      <c r="E135" s="20">
        <v>720</v>
      </c>
      <c r="F135" s="21"/>
      <c r="G135" s="19" t="s">
        <v>65</v>
      </c>
      <c r="H135" s="22" t="s">
        <v>19</v>
      </c>
    </row>
    <row r="136" spans="1:8" x14ac:dyDescent="0.25">
      <c r="A136" s="17">
        <v>43892</v>
      </c>
      <c r="B136" s="18" t="s">
        <v>817</v>
      </c>
      <c r="C136" s="19" t="s">
        <v>804</v>
      </c>
      <c r="D136" s="24"/>
      <c r="E136" s="20">
        <v>360</v>
      </c>
      <c r="F136" s="21"/>
      <c r="G136" s="19" t="s">
        <v>56</v>
      </c>
      <c r="H136" s="22" t="s">
        <v>19</v>
      </c>
    </row>
    <row r="137" spans="1:8" x14ac:dyDescent="0.25">
      <c r="A137" s="17">
        <v>43893</v>
      </c>
      <c r="B137" s="18" t="s">
        <v>818</v>
      </c>
      <c r="C137" s="19" t="s">
        <v>819</v>
      </c>
      <c r="D137" s="24"/>
      <c r="E137" s="20">
        <v>204</v>
      </c>
      <c r="F137" s="21"/>
      <c r="G137" s="19" t="s">
        <v>820</v>
      </c>
      <c r="H137" s="22" t="s">
        <v>19</v>
      </c>
    </row>
    <row r="138" spans="1:8" x14ac:dyDescent="0.25">
      <c r="A138" s="17">
        <v>43901</v>
      </c>
      <c r="B138" s="18" t="s">
        <v>821</v>
      </c>
      <c r="C138" s="19" t="s">
        <v>804</v>
      </c>
      <c r="D138" s="24"/>
      <c r="E138" s="20">
        <v>120</v>
      </c>
      <c r="F138" s="21"/>
      <c r="G138" s="19" t="s">
        <v>56</v>
      </c>
      <c r="H138" s="22" t="s">
        <v>19</v>
      </c>
    </row>
    <row r="139" spans="1:8" x14ac:dyDescent="0.25">
      <c r="A139" s="17">
        <v>43901</v>
      </c>
      <c r="B139" s="18" t="s">
        <v>822</v>
      </c>
      <c r="C139" s="19" t="s">
        <v>823</v>
      </c>
      <c r="D139" s="24"/>
      <c r="E139" s="20">
        <v>3000</v>
      </c>
      <c r="F139" s="21"/>
      <c r="G139" s="19" t="s">
        <v>323</v>
      </c>
      <c r="H139" s="22" t="s">
        <v>19</v>
      </c>
    </row>
    <row r="140" spans="1:8" x14ac:dyDescent="0.25">
      <c r="A140" s="17">
        <v>43902</v>
      </c>
      <c r="B140" s="18"/>
      <c r="C140" s="19" t="s">
        <v>42</v>
      </c>
      <c r="D140" s="24">
        <v>5000</v>
      </c>
      <c r="E140" s="20"/>
      <c r="F140" s="21"/>
      <c r="G140" s="19" t="s">
        <v>19</v>
      </c>
      <c r="H140" s="22" t="s">
        <v>20</v>
      </c>
    </row>
    <row r="141" spans="1:8" x14ac:dyDescent="0.25">
      <c r="A141" s="17">
        <v>43905</v>
      </c>
      <c r="B141" s="18" t="s">
        <v>824</v>
      </c>
      <c r="C141" s="19" t="s">
        <v>825</v>
      </c>
      <c r="D141" s="24"/>
      <c r="E141" s="20">
        <v>899</v>
      </c>
      <c r="F141" s="21"/>
      <c r="G141" s="19" t="s">
        <v>46</v>
      </c>
      <c r="H141" s="22" t="s">
        <v>19</v>
      </c>
    </row>
    <row r="142" spans="1:8" x14ac:dyDescent="0.25">
      <c r="A142" s="17"/>
      <c r="B142" s="18"/>
      <c r="C142" s="19"/>
      <c r="D142" s="24"/>
      <c r="E142" s="20"/>
      <c r="F142" s="21"/>
      <c r="G142" s="19"/>
      <c r="H142" s="22"/>
    </row>
    <row r="143" spans="1:8" x14ac:dyDescent="0.25">
      <c r="A143" s="17"/>
      <c r="B143" s="18"/>
      <c r="C143" s="19"/>
      <c r="D143" s="24"/>
      <c r="E143" s="20"/>
      <c r="F143" s="21"/>
      <c r="G143" s="19"/>
      <c r="H143" s="22"/>
    </row>
    <row r="144" spans="1:8" x14ac:dyDescent="0.25">
      <c r="A144" s="17"/>
      <c r="B144" s="18"/>
      <c r="C144" s="19"/>
      <c r="D144" s="24"/>
      <c r="E144" s="20"/>
      <c r="F144" s="21"/>
      <c r="G144" s="19"/>
      <c r="H144" s="22"/>
    </row>
    <row r="145" spans="1:8" x14ac:dyDescent="0.25">
      <c r="A145" s="17"/>
      <c r="B145" s="18"/>
      <c r="C145" s="19"/>
      <c r="D145" s="24"/>
      <c r="E145" s="20"/>
      <c r="F145" s="21"/>
      <c r="G145" s="19"/>
      <c r="H145" s="22"/>
    </row>
    <row r="146" spans="1:8" x14ac:dyDescent="0.25">
      <c r="A146" s="17"/>
      <c r="B146" s="18"/>
      <c r="C146" s="19"/>
      <c r="D146" s="24"/>
      <c r="E146" s="20"/>
      <c r="F146" s="21"/>
      <c r="G146" s="19"/>
      <c r="H146" s="22"/>
    </row>
    <row r="147" spans="1:8" x14ac:dyDescent="0.25">
      <c r="A147" s="17"/>
      <c r="B147" s="18"/>
      <c r="C147" s="19"/>
      <c r="D147" s="24"/>
      <c r="E147" s="20"/>
      <c r="F147" s="21"/>
      <c r="G147" s="19"/>
      <c r="H147" s="22"/>
    </row>
    <row r="148" spans="1:8" x14ac:dyDescent="0.25">
      <c r="A148" s="17"/>
      <c r="B148" s="18"/>
      <c r="C148" s="19"/>
      <c r="D148" s="24"/>
      <c r="E148" s="20"/>
      <c r="F148" s="21"/>
      <c r="G148" s="19"/>
      <c r="H148" s="22"/>
    </row>
    <row r="149" spans="1:8" x14ac:dyDescent="0.25">
      <c r="A149" s="17"/>
      <c r="B149" s="18"/>
      <c r="C149" s="19"/>
      <c r="D149" s="24"/>
      <c r="E149" s="20"/>
      <c r="F149" s="21"/>
      <c r="G149" s="19"/>
      <c r="H149" s="22"/>
    </row>
    <row r="150" spans="1:8" x14ac:dyDescent="0.25">
      <c r="A150" s="17"/>
      <c r="B150" s="18"/>
      <c r="C150" s="19"/>
      <c r="D150" s="24"/>
      <c r="E150" s="20"/>
      <c r="F150" s="21"/>
      <c r="G150" s="19"/>
      <c r="H150" s="22"/>
    </row>
    <row r="151" spans="1:8" x14ac:dyDescent="0.25">
      <c r="A151" s="17"/>
      <c r="B151" s="18"/>
      <c r="C151" s="19"/>
      <c r="D151" s="24"/>
      <c r="E151" s="20"/>
      <c r="F151" s="21"/>
      <c r="G151" s="19"/>
      <c r="H151" s="22"/>
    </row>
    <row r="152" spans="1:8" x14ac:dyDescent="0.25">
      <c r="A152" s="17"/>
      <c r="B152" s="18"/>
      <c r="C152" s="19"/>
      <c r="D152" s="24"/>
      <c r="E152" s="20"/>
      <c r="F152" s="21"/>
      <c r="G152" s="19"/>
      <c r="H152" s="22"/>
    </row>
    <row r="153" spans="1:8" x14ac:dyDescent="0.25">
      <c r="A153" s="17"/>
      <c r="B153" s="18"/>
      <c r="C153" s="19"/>
      <c r="D153" s="24"/>
      <c r="E153" s="20"/>
      <c r="F153" s="21"/>
      <c r="G153" s="19"/>
      <c r="H153" s="22"/>
    </row>
    <row r="154" spans="1:8" x14ac:dyDescent="0.25">
      <c r="A154" s="17"/>
      <c r="B154" s="18"/>
      <c r="C154" s="19"/>
      <c r="D154" s="24"/>
      <c r="E154" s="20"/>
      <c r="F154" s="21"/>
      <c r="G154" s="19"/>
      <c r="H154" s="22"/>
    </row>
    <row r="155" spans="1:8" x14ac:dyDescent="0.25">
      <c r="A155" s="17"/>
      <c r="B155" s="18"/>
      <c r="C155" s="19"/>
      <c r="D155" s="24"/>
      <c r="E155" s="20"/>
      <c r="F155" s="21"/>
      <c r="G155" s="19"/>
      <c r="H155" s="22"/>
    </row>
    <row r="156" spans="1:8" x14ac:dyDescent="0.25">
      <c r="A156" s="17"/>
      <c r="B156" s="18"/>
      <c r="C156" s="19"/>
      <c r="D156" s="24"/>
      <c r="E156" s="20"/>
      <c r="F156" s="21"/>
      <c r="G156" s="19"/>
      <c r="H156" s="22"/>
    </row>
    <row r="157" spans="1:8" x14ac:dyDescent="0.25">
      <c r="A157" s="17"/>
      <c r="B157" s="18"/>
      <c r="C157" s="19"/>
      <c r="D157" s="24"/>
      <c r="E157" s="20"/>
      <c r="F157" s="21"/>
      <c r="G157" s="19"/>
      <c r="H157" s="22"/>
    </row>
    <row r="158" spans="1:8" x14ac:dyDescent="0.25">
      <c r="A158" s="17"/>
      <c r="B158" s="18"/>
      <c r="C158" s="19"/>
      <c r="D158" s="24"/>
      <c r="E158" s="20"/>
      <c r="F158" s="21"/>
      <c r="G158" s="19"/>
      <c r="H158" s="22"/>
    </row>
    <row r="159" spans="1:8" x14ac:dyDescent="0.25">
      <c r="A159" s="17"/>
      <c r="B159" s="18"/>
      <c r="C159" s="19"/>
      <c r="D159" s="24"/>
      <c r="E159" s="20"/>
      <c r="F159" s="21"/>
      <c r="G159" s="19"/>
      <c r="H159" s="22"/>
    </row>
    <row r="160" spans="1:8" x14ac:dyDescent="0.25">
      <c r="A160" s="17"/>
      <c r="B160" s="18"/>
      <c r="C160" s="19"/>
      <c r="D160" s="24"/>
      <c r="E160" s="20"/>
      <c r="F160" s="21"/>
      <c r="G160" s="19"/>
      <c r="H160" s="22"/>
    </row>
    <row r="161" spans="1:8" x14ac:dyDescent="0.25">
      <c r="A161" s="17"/>
      <c r="B161" s="18"/>
      <c r="C161" s="19"/>
      <c r="D161" s="24"/>
      <c r="E161" s="20"/>
      <c r="F161" s="21"/>
      <c r="G161" s="19"/>
      <c r="H161" s="22"/>
    </row>
    <row r="162" spans="1:8" x14ac:dyDescent="0.25">
      <c r="A162" s="32"/>
      <c r="B162" s="18"/>
      <c r="C162" s="19"/>
      <c r="D162" s="24"/>
      <c r="E162" s="20"/>
      <c r="F162" s="21"/>
      <c r="G162" s="19"/>
      <c r="H162" s="22"/>
    </row>
    <row r="163" spans="1:8" x14ac:dyDescent="0.25">
      <c r="A163" s="17"/>
      <c r="B163" s="18"/>
      <c r="C163" s="19"/>
      <c r="D163" s="24"/>
      <c r="E163" s="20"/>
      <c r="F163" s="21"/>
      <c r="G163" s="19"/>
      <c r="H163" s="22"/>
    </row>
    <row r="164" spans="1:8" x14ac:dyDescent="0.25">
      <c r="A164" s="17"/>
      <c r="B164" s="18"/>
      <c r="C164" s="19"/>
      <c r="D164" s="24"/>
      <c r="E164" s="20"/>
      <c r="F164" s="21"/>
      <c r="G164" s="19"/>
      <c r="H164" s="22"/>
    </row>
    <row r="165" spans="1:8" x14ac:dyDescent="0.25">
      <c r="A165" s="17"/>
      <c r="B165" s="18"/>
      <c r="C165" s="19"/>
      <c r="D165" s="24"/>
      <c r="E165" s="20"/>
      <c r="F165" s="21"/>
      <c r="G165" s="19"/>
      <c r="H165" s="22"/>
    </row>
    <row r="166" spans="1:8" x14ac:dyDescent="0.25">
      <c r="A166" s="17"/>
      <c r="B166" s="18"/>
      <c r="C166" s="19"/>
      <c r="D166" s="24"/>
      <c r="E166" s="20"/>
      <c r="F166" s="21"/>
      <c r="G166" s="19"/>
      <c r="H166" s="22"/>
    </row>
    <row r="167" spans="1:8" x14ac:dyDescent="0.25">
      <c r="A167" s="17"/>
      <c r="B167" s="18"/>
      <c r="C167" s="19"/>
      <c r="D167" s="24"/>
      <c r="E167" s="20"/>
      <c r="F167" s="21"/>
      <c r="G167" s="19"/>
      <c r="H167" s="22"/>
    </row>
    <row r="168" spans="1:8" x14ac:dyDescent="0.25">
      <c r="A168" s="17"/>
      <c r="B168" s="18"/>
      <c r="C168" s="19"/>
      <c r="D168" s="24"/>
      <c r="E168" s="20"/>
      <c r="F168" s="21"/>
      <c r="G168" s="19"/>
      <c r="H168" s="22"/>
    </row>
    <row r="169" spans="1:8" x14ac:dyDescent="0.25">
      <c r="A169" s="32"/>
      <c r="B169" s="31"/>
      <c r="C169" s="19"/>
      <c r="D169" s="24"/>
      <c r="E169" s="20"/>
      <c r="F169" s="21"/>
      <c r="G169" s="19"/>
      <c r="H169" s="22"/>
    </row>
    <row r="170" spans="1:8" x14ac:dyDescent="0.25">
      <c r="A170" s="2" t="s">
        <v>291</v>
      </c>
      <c r="B170" s="2">
        <f>SUBTOTAL(103,Table136[Receipt No.])</f>
        <v>114</v>
      </c>
      <c r="C170" s="3"/>
      <c r="D170" s="28">
        <f>SUBTOTAL(109,Table136[Amount Deposited])</f>
        <v>138124</v>
      </c>
      <c r="E170" s="27">
        <f>SUBTOTAL(109,Table136[Amount Withdrawn])</f>
        <v>137169</v>
      </c>
      <c r="F170" s="1"/>
      <c r="G170" s="3"/>
      <c r="H170" s="4"/>
    </row>
  </sheetData>
  <mergeCells count="3">
    <mergeCell ref="A1:G1"/>
    <mergeCell ref="A3:C3"/>
    <mergeCell ref="F3:G3"/>
  </mergeCells>
  <phoneticPr fontId="15" type="noConversion"/>
  <conditionalFormatting sqref="E3">
    <cfRule type="cellIs" dxfId="18" priority="1" stopIfTrue="1" operator="lessThan">
      <formula>0</formula>
    </cfRule>
  </conditionalFormatting>
  <dataValidations count="1">
    <dataValidation type="list" allowBlank="1" showInputMessage="1" showErrorMessage="1" sqref="F28 F16:F23 F6:F14 F30 F43:F46" xr:uid="{AC501A43-1662-4820-B2FD-F684CFD08928}">
      <formula1>$J$1:$J$10</formula1>
    </dataValidation>
  </dataValidations>
  <printOptions horizontalCentered="1"/>
  <pageMargins left="0.75" right="0.75" top="1" bottom="1" header="0.5" footer="0.5"/>
  <pageSetup scale="19" orientation="landscape" horizontalDpi="300" verticalDpi="300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7E95-7D84-43F5-97D2-0ACBE1B1128F}">
  <sheetPr>
    <pageSetUpPr fitToPage="1"/>
  </sheetPr>
  <dimension ref="A1:J170"/>
  <sheetViews>
    <sheetView showGridLines="0" zoomScaleNormal="100" workbookViewId="0">
      <selection activeCell="C11" sqref="C11"/>
    </sheetView>
  </sheetViews>
  <sheetFormatPr defaultColWidth="9.1796875" defaultRowHeight="12.5" x14ac:dyDescent="0.25"/>
  <cols>
    <col min="1" max="1" width="9.54296875" style="8" bestFit="1" customWidth="1"/>
    <col min="2" max="2" width="13.453125" style="8" bestFit="1" customWidth="1"/>
    <col min="3" max="3" width="32" style="5" bestFit="1" customWidth="1"/>
    <col min="4" max="4" width="15.81640625" style="9" bestFit="1" customWidth="1"/>
    <col min="5" max="5" width="16.1796875" style="9" bestFit="1" customWidth="1"/>
    <col min="6" max="6" width="18.453125" style="5" bestFit="1" customWidth="1"/>
    <col min="7" max="7" width="16.81640625" style="5" customWidth="1"/>
    <col min="8" max="8" width="13.54296875" style="8" bestFit="1" customWidth="1"/>
    <col min="9" max="9" width="9.1796875" style="5"/>
    <col min="10" max="10" width="17.453125" style="5" bestFit="1" customWidth="1"/>
    <col min="11" max="16384" width="9.1796875" style="5"/>
  </cols>
  <sheetData>
    <row r="1" spans="1:10" ht="20.5" thickBot="1" x14ac:dyDescent="0.3">
      <c r="A1" s="52" t="s">
        <v>0</v>
      </c>
      <c r="B1" s="52"/>
      <c r="C1" s="52"/>
      <c r="D1" s="52"/>
      <c r="E1" s="52"/>
      <c r="F1" s="52"/>
      <c r="G1" s="52"/>
      <c r="H1" s="30" t="s">
        <v>826</v>
      </c>
      <c r="I1" s="1"/>
      <c r="J1" s="6" t="s">
        <v>2</v>
      </c>
    </row>
    <row r="2" spans="1:10" ht="15.5" x14ac:dyDescent="0.25">
      <c r="A2" s="7"/>
      <c r="B2" s="2"/>
      <c r="C2" s="1"/>
      <c r="D2" s="43"/>
      <c r="E2" s="43"/>
      <c r="F2" s="1"/>
      <c r="G2" s="1"/>
      <c r="H2" s="2"/>
      <c r="I2" s="1"/>
      <c r="J2" s="6" t="s">
        <v>3</v>
      </c>
    </row>
    <row r="3" spans="1:10" ht="13.5" x14ac:dyDescent="0.25">
      <c r="A3" s="53" t="str">
        <f>"For "&amp;TEXT(MIN(A6:A169),"dd/mm/yyyy")&amp;" through "&amp;TEXT(MAX(A6:A169),"dd/mm/yyyy")</f>
        <v>For 01/04/2020 through 27/02/2021</v>
      </c>
      <c r="B3" s="54"/>
      <c r="C3" s="54"/>
      <c r="D3" s="10" t="s">
        <v>4</v>
      </c>
      <c r="E3" s="29">
        <f>D170-E170</f>
        <v>665</v>
      </c>
      <c r="F3" s="50"/>
      <c r="G3" s="51"/>
      <c r="H3" s="11"/>
      <c r="I3" s="1"/>
      <c r="J3" s="6" t="s">
        <v>5</v>
      </c>
    </row>
    <row r="4" spans="1:10" ht="13.5" x14ac:dyDescent="0.25">
      <c r="A4" s="12"/>
      <c r="B4" s="13"/>
      <c r="C4" s="1"/>
      <c r="D4" s="43"/>
      <c r="E4" s="43"/>
      <c r="F4" s="1"/>
      <c r="G4" s="1"/>
      <c r="H4" s="2"/>
      <c r="I4" s="1"/>
      <c r="J4" s="6" t="s">
        <v>6</v>
      </c>
    </row>
    <row r="5" spans="1:10" ht="13.5" x14ac:dyDescent="0.25">
      <c r="A5" s="14" t="s">
        <v>7</v>
      </c>
      <c r="B5" s="14" t="s">
        <v>8</v>
      </c>
      <c r="C5" s="15" t="s">
        <v>9</v>
      </c>
      <c r="D5" s="16" t="s">
        <v>10</v>
      </c>
      <c r="E5" s="16" t="s">
        <v>11</v>
      </c>
      <c r="F5" s="15" t="s">
        <v>12</v>
      </c>
      <c r="G5" s="15" t="s">
        <v>13</v>
      </c>
      <c r="H5" s="14" t="s">
        <v>14</v>
      </c>
      <c r="I5" s="1"/>
      <c r="J5" s="6" t="s">
        <v>15</v>
      </c>
    </row>
    <row r="6" spans="1:10" s="21" customFormat="1" x14ac:dyDescent="0.25">
      <c r="A6" s="17">
        <v>43922</v>
      </c>
      <c r="B6" s="18"/>
      <c r="C6" s="19" t="s">
        <v>17</v>
      </c>
      <c r="D6" s="26">
        <v>955</v>
      </c>
      <c r="E6" s="20"/>
      <c r="F6" s="21" t="s">
        <v>18</v>
      </c>
      <c r="G6" s="19" t="s">
        <v>19</v>
      </c>
      <c r="H6" s="22" t="s">
        <v>20</v>
      </c>
      <c r="J6" s="23" t="s">
        <v>21</v>
      </c>
    </row>
    <row r="7" spans="1:10" s="21" customFormat="1" ht="23" x14ac:dyDescent="0.35">
      <c r="A7" s="17">
        <v>44091</v>
      </c>
      <c r="B7" s="18" t="s">
        <v>827</v>
      </c>
      <c r="C7" s="19" t="s">
        <v>828</v>
      </c>
      <c r="D7" s="24"/>
      <c r="E7" s="20">
        <v>400</v>
      </c>
      <c r="G7" s="19" t="s">
        <v>829</v>
      </c>
      <c r="H7" s="22" t="s">
        <v>19</v>
      </c>
      <c r="J7" s="25" t="s">
        <v>18</v>
      </c>
    </row>
    <row r="8" spans="1:10" s="21" customFormat="1" ht="11.5" x14ac:dyDescent="0.25">
      <c r="A8" s="17">
        <v>44091</v>
      </c>
      <c r="B8" s="18" t="s">
        <v>830</v>
      </c>
      <c r="C8" s="19" t="s">
        <v>831</v>
      </c>
      <c r="D8" s="24"/>
      <c r="E8" s="20">
        <v>1250</v>
      </c>
      <c r="G8" s="19" t="s">
        <v>832</v>
      </c>
      <c r="H8" s="22" t="s">
        <v>19</v>
      </c>
    </row>
    <row r="9" spans="1:10" s="21" customFormat="1" ht="11.5" x14ac:dyDescent="0.25">
      <c r="A9" s="17">
        <v>44188</v>
      </c>
      <c r="B9" s="18" t="s">
        <v>833</v>
      </c>
      <c r="C9" s="19" t="s">
        <v>239</v>
      </c>
      <c r="D9" s="24"/>
      <c r="E9" s="20">
        <v>240</v>
      </c>
      <c r="G9" s="19" t="s">
        <v>56</v>
      </c>
      <c r="H9" s="22" t="s">
        <v>19</v>
      </c>
    </row>
    <row r="10" spans="1:10" s="21" customFormat="1" ht="11.5" x14ac:dyDescent="0.25">
      <c r="A10" s="17">
        <v>44248</v>
      </c>
      <c r="B10" s="18" t="s">
        <v>834</v>
      </c>
      <c r="C10" s="19" t="s">
        <v>835</v>
      </c>
      <c r="D10" s="24"/>
      <c r="E10" s="20">
        <v>2400</v>
      </c>
      <c r="G10" s="19" t="s">
        <v>836</v>
      </c>
      <c r="H10" s="22" t="s">
        <v>19</v>
      </c>
    </row>
    <row r="11" spans="1:10" s="21" customFormat="1" ht="11.5" x14ac:dyDescent="0.25">
      <c r="A11" s="17">
        <v>44254</v>
      </c>
      <c r="B11" s="18"/>
      <c r="C11" s="19" t="s">
        <v>42</v>
      </c>
      <c r="D11" s="24">
        <v>4000</v>
      </c>
      <c r="E11" s="20"/>
      <c r="G11" s="19" t="s">
        <v>19</v>
      </c>
      <c r="H11" s="22" t="s">
        <v>20</v>
      </c>
    </row>
    <row r="12" spans="1:10" s="21" customFormat="1" ht="11.5" x14ac:dyDescent="0.25">
      <c r="A12" s="17"/>
      <c r="B12" s="18"/>
      <c r="C12" s="19"/>
      <c r="D12" s="24"/>
      <c r="E12" s="20"/>
      <c r="G12" s="19"/>
      <c r="H12" s="22"/>
    </row>
    <row r="13" spans="1:10" s="21" customFormat="1" ht="11.5" x14ac:dyDescent="0.25">
      <c r="A13" s="17"/>
      <c r="B13" s="18"/>
      <c r="C13" s="19"/>
      <c r="D13" s="24"/>
      <c r="E13" s="20"/>
      <c r="G13" s="19"/>
      <c r="H13" s="22"/>
    </row>
    <row r="14" spans="1:10" s="21" customFormat="1" ht="11.5" x14ac:dyDescent="0.25">
      <c r="A14" s="17"/>
      <c r="B14" s="18"/>
      <c r="C14" s="19"/>
      <c r="D14" s="24"/>
      <c r="E14" s="20"/>
      <c r="G14" s="19"/>
      <c r="H14" s="22"/>
    </row>
    <row r="15" spans="1:10" s="21" customFormat="1" ht="11.5" x14ac:dyDescent="0.25">
      <c r="A15" s="17"/>
      <c r="B15" s="18"/>
      <c r="C15" s="19"/>
      <c r="D15" s="24"/>
      <c r="E15" s="20"/>
      <c r="G15" s="19"/>
      <c r="H15" s="22"/>
    </row>
    <row r="16" spans="1:10" s="21" customFormat="1" ht="11.5" x14ac:dyDescent="0.25">
      <c r="A16" s="17"/>
      <c r="B16" s="18"/>
      <c r="C16" s="19"/>
      <c r="D16" s="24"/>
      <c r="E16" s="20"/>
      <c r="G16" s="19"/>
      <c r="H16" s="22"/>
    </row>
    <row r="17" spans="1:8" s="21" customFormat="1" ht="11.5" x14ac:dyDescent="0.25">
      <c r="A17" s="17"/>
      <c r="B17" s="31"/>
      <c r="C17" s="19"/>
      <c r="D17" s="24"/>
      <c r="E17" s="20"/>
      <c r="G17" s="19"/>
      <c r="H17" s="22"/>
    </row>
    <row r="18" spans="1:8" s="21" customFormat="1" ht="11.5" x14ac:dyDescent="0.25">
      <c r="A18" s="17"/>
      <c r="B18" s="18"/>
      <c r="C18" s="19"/>
      <c r="D18" s="24"/>
      <c r="E18" s="20"/>
      <c r="G18" s="19"/>
      <c r="H18" s="22"/>
    </row>
    <row r="19" spans="1:8" s="21" customFormat="1" ht="11.5" x14ac:dyDescent="0.25">
      <c r="A19" s="17"/>
      <c r="B19" s="18"/>
      <c r="C19" s="19"/>
      <c r="D19" s="24"/>
      <c r="E19" s="20"/>
      <c r="G19" s="19"/>
      <c r="H19" s="22"/>
    </row>
    <row r="20" spans="1:8" s="21" customFormat="1" ht="11.5" x14ac:dyDescent="0.25">
      <c r="A20" s="17"/>
      <c r="B20" s="18"/>
      <c r="C20" s="19"/>
      <c r="D20" s="24"/>
      <c r="E20" s="20"/>
      <c r="G20" s="19"/>
      <c r="H20" s="22"/>
    </row>
    <row r="21" spans="1:8" s="21" customFormat="1" ht="11.5" x14ac:dyDescent="0.25">
      <c r="A21" s="17"/>
      <c r="B21" s="18"/>
      <c r="C21" s="19"/>
      <c r="D21" s="24"/>
      <c r="E21" s="20"/>
      <c r="G21" s="19"/>
      <c r="H21" s="22"/>
    </row>
    <row r="22" spans="1:8" s="21" customFormat="1" ht="11.5" x14ac:dyDescent="0.25">
      <c r="A22" s="17"/>
      <c r="B22" s="18"/>
      <c r="C22" s="19"/>
      <c r="D22" s="24"/>
      <c r="E22" s="20"/>
      <c r="G22" s="19"/>
      <c r="H22" s="22"/>
    </row>
    <row r="23" spans="1:8" s="21" customFormat="1" ht="11.5" x14ac:dyDescent="0.25">
      <c r="A23" s="17"/>
      <c r="B23" s="18"/>
      <c r="C23" s="19"/>
      <c r="D23" s="24"/>
      <c r="E23" s="20"/>
      <c r="G23" s="19"/>
      <c r="H23" s="22"/>
    </row>
    <row r="24" spans="1:8" s="21" customFormat="1" ht="11.5" x14ac:dyDescent="0.25">
      <c r="A24" s="17"/>
      <c r="B24" s="18"/>
      <c r="C24" s="19"/>
      <c r="D24" s="24"/>
      <c r="E24" s="20"/>
      <c r="G24" s="19"/>
      <c r="H24" s="22"/>
    </row>
    <row r="25" spans="1:8" s="21" customFormat="1" ht="11.5" x14ac:dyDescent="0.25">
      <c r="A25" s="17"/>
      <c r="B25" s="18"/>
      <c r="C25" s="19"/>
      <c r="D25" s="24"/>
      <c r="E25" s="20"/>
      <c r="G25" s="19"/>
      <c r="H25" s="22"/>
    </row>
    <row r="26" spans="1:8" s="21" customFormat="1" ht="11.5" x14ac:dyDescent="0.25">
      <c r="A26" s="17"/>
      <c r="B26" s="18"/>
      <c r="C26" s="19"/>
      <c r="D26" s="24"/>
      <c r="E26" s="20"/>
      <c r="G26" s="19"/>
      <c r="H26" s="22"/>
    </row>
    <row r="27" spans="1:8" s="21" customFormat="1" ht="11.5" x14ac:dyDescent="0.25">
      <c r="A27" s="17"/>
      <c r="B27" s="18"/>
      <c r="C27" s="19"/>
      <c r="D27" s="24"/>
      <c r="E27" s="20"/>
      <c r="G27" s="19"/>
      <c r="H27" s="22"/>
    </row>
    <row r="28" spans="1:8" s="21" customFormat="1" ht="11.5" x14ac:dyDescent="0.25">
      <c r="A28" s="17"/>
      <c r="B28" s="18"/>
      <c r="C28" s="19"/>
      <c r="D28" s="24"/>
      <c r="E28" s="20"/>
      <c r="G28" s="19"/>
      <c r="H28" s="22"/>
    </row>
    <row r="29" spans="1:8" s="21" customFormat="1" ht="11.5" x14ac:dyDescent="0.25">
      <c r="A29" s="17"/>
      <c r="B29" s="18"/>
      <c r="C29" s="19"/>
      <c r="D29" s="24"/>
      <c r="E29" s="20"/>
      <c r="G29" s="19"/>
      <c r="H29" s="22"/>
    </row>
    <row r="30" spans="1:8" s="21" customFormat="1" ht="11.5" x14ac:dyDescent="0.25">
      <c r="A30" s="17"/>
      <c r="B30" s="18"/>
      <c r="C30" s="19"/>
      <c r="D30" s="24"/>
      <c r="E30" s="20"/>
      <c r="G30" s="19"/>
      <c r="H30" s="22"/>
    </row>
    <row r="31" spans="1:8" s="21" customFormat="1" ht="11.5" x14ac:dyDescent="0.25">
      <c r="A31" s="17"/>
      <c r="B31" s="18"/>
      <c r="C31" s="19"/>
      <c r="D31" s="24"/>
      <c r="E31" s="20"/>
      <c r="G31" s="19"/>
      <c r="H31" s="22"/>
    </row>
    <row r="32" spans="1:8" s="21" customFormat="1" ht="11.5" x14ac:dyDescent="0.25">
      <c r="A32" s="17"/>
      <c r="B32" s="18"/>
      <c r="C32" s="19"/>
      <c r="D32" s="24"/>
      <c r="E32" s="20"/>
      <c r="G32" s="19"/>
      <c r="H32" s="22"/>
    </row>
    <row r="33" spans="1:8" s="21" customFormat="1" ht="11.5" x14ac:dyDescent="0.25">
      <c r="A33" s="17"/>
      <c r="B33" s="18"/>
      <c r="C33" s="19"/>
      <c r="D33" s="24"/>
      <c r="E33" s="20"/>
      <c r="G33" s="19"/>
      <c r="H33" s="22"/>
    </row>
    <row r="34" spans="1:8" s="21" customFormat="1" ht="11.5" x14ac:dyDescent="0.25">
      <c r="A34" s="17"/>
      <c r="B34" s="18"/>
      <c r="C34" s="19"/>
      <c r="D34" s="24"/>
      <c r="E34" s="20"/>
      <c r="G34" s="19"/>
      <c r="H34" s="22"/>
    </row>
    <row r="35" spans="1:8" s="21" customFormat="1" ht="11.5" x14ac:dyDescent="0.25">
      <c r="A35" s="17"/>
      <c r="B35" s="18"/>
      <c r="C35" s="19"/>
      <c r="D35" s="24"/>
      <c r="E35" s="20"/>
      <c r="G35" s="19"/>
      <c r="H35" s="22"/>
    </row>
    <row r="36" spans="1:8" s="21" customFormat="1" ht="11.5" x14ac:dyDescent="0.25">
      <c r="A36" s="17"/>
      <c r="B36" s="18"/>
      <c r="C36" s="19"/>
      <c r="D36" s="24"/>
      <c r="E36" s="20"/>
      <c r="G36" s="19"/>
      <c r="H36" s="22"/>
    </row>
    <row r="37" spans="1:8" s="21" customFormat="1" ht="11.5" x14ac:dyDescent="0.25">
      <c r="A37" s="17"/>
      <c r="B37" s="18"/>
      <c r="C37" s="19"/>
      <c r="D37" s="24"/>
      <c r="E37" s="20"/>
      <c r="G37" s="19"/>
      <c r="H37" s="22"/>
    </row>
    <row r="38" spans="1:8" s="21" customFormat="1" ht="11.5" x14ac:dyDescent="0.25">
      <c r="A38" s="17"/>
      <c r="B38" s="18"/>
      <c r="C38" s="19"/>
      <c r="D38" s="24"/>
      <c r="E38" s="20"/>
      <c r="G38" s="19"/>
      <c r="H38" s="22"/>
    </row>
    <row r="39" spans="1:8" s="21" customFormat="1" ht="11.5" x14ac:dyDescent="0.25">
      <c r="A39" s="17"/>
      <c r="B39" s="18"/>
      <c r="C39" s="19"/>
      <c r="D39" s="24"/>
      <c r="E39" s="20"/>
      <c r="G39" s="19"/>
      <c r="H39" s="22"/>
    </row>
    <row r="40" spans="1:8" s="21" customFormat="1" ht="11.5" x14ac:dyDescent="0.25">
      <c r="A40" s="17"/>
      <c r="B40" s="18"/>
      <c r="C40" s="19"/>
      <c r="D40" s="24"/>
      <c r="E40" s="20"/>
      <c r="G40" s="19"/>
      <c r="H40" s="22"/>
    </row>
    <row r="41" spans="1:8" s="21" customFormat="1" ht="11.5" x14ac:dyDescent="0.25">
      <c r="A41" s="17"/>
      <c r="B41" s="18"/>
      <c r="C41" s="19"/>
      <c r="D41" s="24"/>
      <c r="E41" s="20"/>
      <c r="G41" s="19"/>
      <c r="H41" s="22"/>
    </row>
    <row r="42" spans="1:8" s="21" customFormat="1" ht="11.5" x14ac:dyDescent="0.25">
      <c r="A42" s="17"/>
      <c r="B42" s="18"/>
      <c r="C42" s="19"/>
      <c r="D42" s="24"/>
      <c r="E42" s="20"/>
      <c r="G42" s="19"/>
      <c r="H42" s="22"/>
    </row>
    <row r="43" spans="1:8" s="21" customFormat="1" ht="11.5" x14ac:dyDescent="0.25">
      <c r="A43" s="17"/>
      <c r="B43" s="18"/>
      <c r="C43" s="19"/>
      <c r="D43" s="24"/>
      <c r="E43" s="20"/>
      <c r="G43" s="19"/>
      <c r="H43" s="22"/>
    </row>
    <row r="44" spans="1:8" s="21" customFormat="1" ht="11.5" x14ac:dyDescent="0.25">
      <c r="A44" s="17"/>
      <c r="B44" s="18"/>
      <c r="C44" s="19"/>
      <c r="D44" s="24"/>
      <c r="E44" s="20"/>
      <c r="G44" s="19"/>
      <c r="H44" s="22"/>
    </row>
    <row r="45" spans="1:8" s="21" customFormat="1" ht="11.5" x14ac:dyDescent="0.25">
      <c r="A45" s="17"/>
      <c r="B45" s="18"/>
      <c r="C45" s="19"/>
      <c r="D45" s="24"/>
      <c r="E45" s="20"/>
      <c r="G45" s="19"/>
      <c r="H45" s="22"/>
    </row>
    <row r="46" spans="1:8" s="21" customFormat="1" ht="11.5" x14ac:dyDescent="0.25">
      <c r="A46" s="17"/>
      <c r="B46" s="18"/>
      <c r="C46" s="19"/>
      <c r="D46" s="24"/>
      <c r="E46" s="20"/>
      <c r="G46" s="19"/>
      <c r="H46" s="22"/>
    </row>
    <row r="47" spans="1:8" x14ac:dyDescent="0.25">
      <c r="A47" s="17"/>
      <c r="B47" s="18"/>
      <c r="C47" s="19"/>
      <c r="D47" s="24"/>
      <c r="E47" s="20"/>
      <c r="F47" s="21"/>
      <c r="G47" s="19"/>
      <c r="H47" s="22"/>
    </row>
    <row r="48" spans="1:8" x14ac:dyDescent="0.25">
      <c r="A48" s="17"/>
      <c r="B48" s="18"/>
      <c r="C48" s="19"/>
      <c r="D48" s="24"/>
      <c r="E48" s="20"/>
      <c r="F48" s="21"/>
      <c r="G48" s="19"/>
      <c r="H48" s="22"/>
    </row>
    <row r="49" spans="1:8" x14ac:dyDescent="0.25">
      <c r="A49" s="17"/>
      <c r="B49" s="18"/>
      <c r="C49" s="19"/>
      <c r="D49" s="24"/>
      <c r="E49" s="20"/>
      <c r="F49" s="21"/>
      <c r="G49" s="19"/>
      <c r="H49" s="22"/>
    </row>
    <row r="50" spans="1:8" x14ac:dyDescent="0.25">
      <c r="A50" s="17"/>
      <c r="B50" s="18"/>
      <c r="C50" s="19"/>
      <c r="D50" s="24"/>
      <c r="E50" s="20"/>
      <c r="F50" s="21"/>
      <c r="G50" s="19"/>
      <c r="H50" s="22"/>
    </row>
    <row r="51" spans="1:8" x14ac:dyDescent="0.25">
      <c r="A51" s="17"/>
      <c r="B51" s="18"/>
      <c r="C51" s="19"/>
      <c r="D51" s="24"/>
      <c r="E51" s="20"/>
      <c r="F51" s="21"/>
      <c r="G51" s="19"/>
      <c r="H51" s="22"/>
    </row>
    <row r="52" spans="1:8" x14ac:dyDescent="0.25">
      <c r="A52" s="17"/>
      <c r="B52" s="18"/>
      <c r="C52" s="19"/>
      <c r="D52" s="24"/>
      <c r="E52" s="20"/>
      <c r="F52" s="21"/>
      <c r="G52" s="19"/>
      <c r="H52" s="22"/>
    </row>
    <row r="53" spans="1:8" x14ac:dyDescent="0.25">
      <c r="A53" s="17"/>
      <c r="B53" s="18"/>
      <c r="C53" s="19"/>
      <c r="D53" s="24"/>
      <c r="E53" s="20"/>
      <c r="F53" s="21"/>
      <c r="G53" s="19"/>
      <c r="H53" s="22"/>
    </row>
    <row r="54" spans="1:8" x14ac:dyDescent="0.25">
      <c r="A54" s="17"/>
      <c r="B54" s="18"/>
      <c r="C54" s="19"/>
      <c r="D54" s="24"/>
      <c r="E54" s="20"/>
      <c r="F54" s="21"/>
      <c r="G54" s="19"/>
      <c r="H54" s="22"/>
    </row>
    <row r="55" spans="1:8" x14ac:dyDescent="0.25">
      <c r="A55" s="17"/>
      <c r="B55" s="18"/>
      <c r="C55" s="19"/>
      <c r="D55" s="24"/>
      <c r="E55" s="20"/>
      <c r="F55" s="21"/>
      <c r="G55" s="19"/>
      <c r="H55" s="22"/>
    </row>
    <row r="56" spans="1:8" x14ac:dyDescent="0.25">
      <c r="A56" s="17"/>
      <c r="B56" s="18"/>
      <c r="C56" s="19"/>
      <c r="D56" s="24"/>
      <c r="E56" s="20"/>
      <c r="F56" s="21"/>
      <c r="G56" s="19"/>
      <c r="H56" s="22"/>
    </row>
    <row r="57" spans="1:8" x14ac:dyDescent="0.25">
      <c r="A57" s="17"/>
      <c r="B57" s="18"/>
      <c r="C57" s="19"/>
      <c r="D57" s="24"/>
      <c r="E57" s="20"/>
      <c r="F57" s="21"/>
      <c r="G57" s="19"/>
      <c r="H57" s="22"/>
    </row>
    <row r="58" spans="1:8" x14ac:dyDescent="0.25">
      <c r="A58" s="17"/>
      <c r="B58" s="18"/>
      <c r="C58" s="19"/>
      <c r="D58" s="24"/>
      <c r="E58" s="20"/>
      <c r="F58" s="21"/>
      <c r="G58" s="19"/>
      <c r="H58" s="22"/>
    </row>
    <row r="59" spans="1:8" x14ac:dyDescent="0.25">
      <c r="A59" s="17"/>
      <c r="B59" s="18"/>
      <c r="C59" s="19"/>
      <c r="D59" s="24"/>
      <c r="E59" s="20"/>
      <c r="F59" s="21"/>
      <c r="G59" s="19"/>
      <c r="H59" s="22"/>
    </row>
    <row r="60" spans="1:8" x14ac:dyDescent="0.25">
      <c r="A60" s="17"/>
      <c r="B60" s="18"/>
      <c r="C60" s="19"/>
      <c r="D60" s="24"/>
      <c r="E60" s="20"/>
      <c r="F60" s="21"/>
      <c r="G60" s="19"/>
      <c r="H60" s="22"/>
    </row>
    <row r="61" spans="1:8" x14ac:dyDescent="0.25">
      <c r="A61" s="17"/>
      <c r="B61" s="18"/>
      <c r="C61" s="19"/>
      <c r="D61" s="24"/>
      <c r="E61" s="20"/>
      <c r="F61" s="21"/>
      <c r="G61" s="19"/>
      <c r="H61" s="22"/>
    </row>
    <row r="62" spans="1:8" x14ac:dyDescent="0.25">
      <c r="A62" s="17"/>
      <c r="B62" s="18"/>
      <c r="C62" s="19"/>
      <c r="D62" s="24"/>
      <c r="E62" s="20"/>
      <c r="F62" s="21"/>
      <c r="G62" s="19"/>
      <c r="H62" s="22"/>
    </row>
    <row r="63" spans="1:8" x14ac:dyDescent="0.25">
      <c r="A63" s="17"/>
      <c r="B63" s="18"/>
      <c r="C63" s="19"/>
      <c r="D63" s="24"/>
      <c r="E63" s="20"/>
      <c r="F63" s="21"/>
      <c r="G63" s="19"/>
      <c r="H63" s="22"/>
    </row>
    <row r="64" spans="1:8" x14ac:dyDescent="0.25">
      <c r="A64" s="17"/>
      <c r="B64" s="18"/>
      <c r="C64" s="19"/>
      <c r="D64" s="24"/>
      <c r="E64" s="20"/>
      <c r="F64" s="21"/>
      <c r="G64" s="19"/>
      <c r="H64" s="22"/>
    </row>
    <row r="65" spans="1:8" x14ac:dyDescent="0.25">
      <c r="A65" s="17"/>
      <c r="B65" s="18"/>
      <c r="C65" s="19"/>
      <c r="D65" s="24"/>
      <c r="E65" s="20"/>
      <c r="F65" s="21"/>
      <c r="G65" s="19"/>
      <c r="H65" s="22"/>
    </row>
    <row r="66" spans="1:8" x14ac:dyDescent="0.25">
      <c r="A66" s="17"/>
      <c r="B66" s="18"/>
      <c r="C66" s="19"/>
      <c r="D66" s="24"/>
      <c r="E66" s="20"/>
      <c r="F66" s="21"/>
      <c r="G66" s="19"/>
      <c r="H66" s="22"/>
    </row>
    <row r="67" spans="1:8" x14ac:dyDescent="0.25">
      <c r="A67" s="17"/>
      <c r="B67" s="18"/>
      <c r="C67" s="19"/>
      <c r="D67" s="24"/>
      <c r="E67" s="20"/>
      <c r="F67" s="21"/>
      <c r="G67" s="19"/>
      <c r="H67" s="22"/>
    </row>
    <row r="68" spans="1:8" x14ac:dyDescent="0.25">
      <c r="A68" s="17"/>
      <c r="B68" s="18"/>
      <c r="C68" s="19"/>
      <c r="D68" s="24"/>
      <c r="E68" s="20"/>
      <c r="F68" s="21"/>
      <c r="G68" s="19"/>
      <c r="H68" s="22"/>
    </row>
    <row r="69" spans="1:8" x14ac:dyDescent="0.25">
      <c r="A69" s="17"/>
      <c r="B69" s="18"/>
      <c r="C69" s="19"/>
      <c r="D69" s="24"/>
      <c r="E69" s="20"/>
      <c r="F69" s="21"/>
      <c r="G69" s="19"/>
      <c r="H69" s="22"/>
    </row>
    <row r="70" spans="1:8" x14ac:dyDescent="0.25">
      <c r="A70" s="17"/>
      <c r="B70" s="18"/>
      <c r="C70" s="19"/>
      <c r="D70" s="24"/>
      <c r="E70" s="20"/>
      <c r="F70" s="21"/>
      <c r="G70" s="19"/>
      <c r="H70" s="22"/>
    </row>
    <row r="71" spans="1:8" x14ac:dyDescent="0.25">
      <c r="A71" s="17"/>
      <c r="B71" s="31"/>
      <c r="C71" s="19"/>
      <c r="D71" s="24"/>
      <c r="E71" s="20"/>
      <c r="F71" s="21"/>
      <c r="G71" s="19"/>
      <c r="H71" s="22"/>
    </row>
    <row r="72" spans="1:8" x14ac:dyDescent="0.25">
      <c r="A72" s="17"/>
      <c r="B72" s="18"/>
      <c r="C72" s="19"/>
      <c r="D72" s="24"/>
      <c r="E72" s="20"/>
      <c r="F72" s="21"/>
      <c r="G72" s="19"/>
      <c r="H72" s="22"/>
    </row>
    <row r="73" spans="1:8" x14ac:dyDescent="0.25">
      <c r="A73" s="17"/>
      <c r="B73" s="18"/>
      <c r="C73" s="19"/>
      <c r="D73" s="24"/>
      <c r="E73" s="20"/>
      <c r="F73" s="21"/>
      <c r="G73" s="19"/>
      <c r="H73" s="22"/>
    </row>
    <row r="74" spans="1:8" x14ac:dyDescent="0.25">
      <c r="A74" s="17"/>
      <c r="B74" s="18"/>
      <c r="C74" s="19"/>
      <c r="D74" s="24"/>
      <c r="E74" s="20"/>
      <c r="F74" s="21"/>
      <c r="G74" s="19"/>
      <c r="H74" s="22"/>
    </row>
    <row r="75" spans="1:8" x14ac:dyDescent="0.25">
      <c r="A75" s="17"/>
      <c r="B75" s="18"/>
      <c r="C75" s="19"/>
      <c r="D75" s="24"/>
      <c r="E75" s="20"/>
      <c r="F75" s="21"/>
      <c r="G75" s="19"/>
      <c r="H75" s="22"/>
    </row>
    <row r="76" spans="1:8" x14ac:dyDescent="0.25">
      <c r="A76" s="17"/>
      <c r="B76" s="18"/>
      <c r="C76" s="19"/>
      <c r="D76" s="24"/>
      <c r="E76" s="20"/>
      <c r="F76" s="21"/>
      <c r="G76" s="19"/>
      <c r="H76" s="22"/>
    </row>
    <row r="77" spans="1:8" x14ac:dyDescent="0.25">
      <c r="A77" s="17"/>
      <c r="B77" s="18"/>
      <c r="C77" s="19"/>
      <c r="D77" s="24"/>
      <c r="E77" s="20"/>
      <c r="F77" s="21"/>
      <c r="G77" s="19"/>
      <c r="H77" s="22"/>
    </row>
    <row r="78" spans="1:8" x14ac:dyDescent="0.25">
      <c r="A78" s="17"/>
      <c r="B78" s="18"/>
      <c r="C78" s="19"/>
      <c r="D78" s="24"/>
      <c r="E78" s="20"/>
      <c r="F78" s="21"/>
      <c r="G78" s="19"/>
      <c r="H78" s="22"/>
    </row>
    <row r="79" spans="1:8" x14ac:dyDescent="0.25">
      <c r="A79" s="17"/>
      <c r="B79" s="18"/>
      <c r="C79" s="19"/>
      <c r="D79" s="24"/>
      <c r="E79" s="20"/>
      <c r="F79" s="21"/>
      <c r="G79" s="19"/>
      <c r="H79" s="22"/>
    </row>
    <row r="80" spans="1:8" x14ac:dyDescent="0.25">
      <c r="A80" s="17"/>
      <c r="B80" s="18"/>
      <c r="C80" s="19"/>
      <c r="D80" s="24"/>
      <c r="E80" s="20"/>
      <c r="F80" s="21"/>
      <c r="G80" s="19"/>
      <c r="H80" s="22"/>
    </row>
    <row r="81" spans="1:8" x14ac:dyDescent="0.25">
      <c r="A81" s="17"/>
      <c r="B81" s="18"/>
      <c r="C81" s="19"/>
      <c r="D81" s="24"/>
      <c r="E81" s="20"/>
      <c r="F81" s="21"/>
      <c r="G81" s="19"/>
      <c r="H81" s="22"/>
    </row>
    <row r="82" spans="1:8" x14ac:dyDescent="0.25">
      <c r="A82" s="17"/>
      <c r="B82" s="18"/>
      <c r="C82" s="19"/>
      <c r="D82" s="24"/>
      <c r="E82" s="20"/>
      <c r="F82" s="21"/>
      <c r="G82" s="19"/>
      <c r="H82" s="22"/>
    </row>
    <row r="83" spans="1:8" x14ac:dyDescent="0.25">
      <c r="A83" s="17"/>
      <c r="B83" s="18"/>
      <c r="C83" s="19"/>
      <c r="D83" s="24"/>
      <c r="E83" s="20"/>
      <c r="F83" s="21"/>
      <c r="G83" s="19"/>
      <c r="H83" s="22"/>
    </row>
    <row r="84" spans="1:8" x14ac:dyDescent="0.25">
      <c r="A84" s="17"/>
      <c r="B84" s="18"/>
      <c r="C84" s="19"/>
      <c r="D84" s="24"/>
      <c r="E84" s="20"/>
      <c r="F84" s="21"/>
      <c r="G84" s="19"/>
      <c r="H84" s="22"/>
    </row>
    <row r="85" spans="1:8" x14ac:dyDescent="0.25">
      <c r="A85" s="17"/>
      <c r="B85" s="18"/>
      <c r="C85" s="19"/>
      <c r="D85" s="24"/>
      <c r="E85" s="20"/>
      <c r="F85" s="21"/>
      <c r="G85" s="19"/>
      <c r="H85" s="22"/>
    </row>
    <row r="86" spans="1:8" x14ac:dyDescent="0.25">
      <c r="A86" s="17"/>
      <c r="B86" s="18"/>
      <c r="C86" s="19"/>
      <c r="D86" s="24"/>
      <c r="E86" s="20"/>
      <c r="F86" s="21"/>
      <c r="G86" s="19"/>
      <c r="H86" s="22"/>
    </row>
    <row r="87" spans="1:8" x14ac:dyDescent="0.25">
      <c r="A87" s="17"/>
      <c r="B87" s="18"/>
      <c r="C87" s="19"/>
      <c r="D87" s="24"/>
      <c r="E87" s="20"/>
      <c r="F87" s="21"/>
      <c r="G87" s="19"/>
      <c r="H87" s="22"/>
    </row>
    <row r="88" spans="1:8" x14ac:dyDescent="0.25">
      <c r="A88" s="17"/>
      <c r="B88" s="18"/>
      <c r="C88" s="19"/>
      <c r="D88" s="24"/>
      <c r="E88" s="20"/>
      <c r="F88" s="21"/>
      <c r="G88" s="19"/>
      <c r="H88" s="22"/>
    </row>
    <row r="89" spans="1:8" x14ac:dyDescent="0.25">
      <c r="A89" s="17"/>
      <c r="B89" s="18"/>
      <c r="C89" s="19"/>
      <c r="D89" s="24"/>
      <c r="E89" s="20"/>
      <c r="F89" s="21"/>
      <c r="G89" s="19"/>
      <c r="H89" s="22"/>
    </row>
    <row r="90" spans="1:8" x14ac:dyDescent="0.25">
      <c r="A90" s="17"/>
      <c r="B90" s="18"/>
      <c r="C90" s="19"/>
      <c r="D90" s="24"/>
      <c r="E90" s="20"/>
      <c r="F90" s="21"/>
      <c r="G90" s="19"/>
      <c r="H90" s="22"/>
    </row>
    <row r="91" spans="1:8" x14ac:dyDescent="0.25">
      <c r="A91" s="17"/>
      <c r="B91" s="18"/>
      <c r="C91" s="19"/>
      <c r="D91" s="24"/>
      <c r="E91" s="20"/>
      <c r="F91" s="21"/>
      <c r="G91" s="19"/>
      <c r="H91" s="22"/>
    </row>
    <row r="92" spans="1:8" x14ac:dyDescent="0.25">
      <c r="A92" s="17"/>
      <c r="B92" s="18"/>
      <c r="C92" s="19"/>
      <c r="D92" s="24"/>
      <c r="E92" s="20"/>
      <c r="F92" s="21"/>
      <c r="G92" s="19"/>
      <c r="H92" s="22"/>
    </row>
    <row r="93" spans="1:8" x14ac:dyDescent="0.25">
      <c r="A93" s="17"/>
      <c r="B93" s="18"/>
      <c r="C93" s="19"/>
      <c r="D93" s="24"/>
      <c r="E93" s="20"/>
      <c r="F93" s="21"/>
      <c r="G93" s="19"/>
      <c r="H93" s="22"/>
    </row>
    <row r="94" spans="1:8" x14ac:dyDescent="0.25">
      <c r="A94" s="17"/>
      <c r="B94" s="18"/>
      <c r="C94" s="19"/>
      <c r="D94" s="24"/>
      <c r="E94" s="20"/>
      <c r="F94" s="21"/>
      <c r="G94" s="19"/>
      <c r="H94" s="22"/>
    </row>
    <row r="95" spans="1:8" x14ac:dyDescent="0.25">
      <c r="A95" s="17"/>
      <c r="B95" s="18"/>
      <c r="C95" s="19"/>
      <c r="D95" s="24"/>
      <c r="E95" s="20"/>
      <c r="F95" s="21"/>
      <c r="G95" s="19"/>
      <c r="H95" s="22"/>
    </row>
    <row r="96" spans="1:8" x14ac:dyDescent="0.25">
      <c r="A96" s="17"/>
      <c r="B96" s="18"/>
      <c r="C96" s="19"/>
      <c r="D96" s="24"/>
      <c r="E96" s="20"/>
      <c r="F96" s="21"/>
      <c r="G96" s="19"/>
      <c r="H96" s="22"/>
    </row>
    <row r="97" spans="1:8" x14ac:dyDescent="0.25">
      <c r="A97" s="17"/>
      <c r="B97" s="18"/>
      <c r="C97" s="19"/>
      <c r="D97" s="24"/>
      <c r="E97" s="20"/>
      <c r="F97" s="21"/>
      <c r="G97" s="19"/>
      <c r="H97" s="22"/>
    </row>
    <row r="98" spans="1:8" x14ac:dyDescent="0.25">
      <c r="A98" s="17"/>
      <c r="B98" s="18"/>
      <c r="C98" s="19"/>
      <c r="D98" s="24"/>
      <c r="E98" s="20"/>
      <c r="F98" s="21"/>
      <c r="G98" s="19"/>
      <c r="H98" s="22"/>
    </row>
    <row r="99" spans="1:8" x14ac:dyDescent="0.25">
      <c r="A99" s="17"/>
      <c r="B99" s="18"/>
      <c r="C99" s="19"/>
      <c r="D99" s="24"/>
      <c r="E99" s="20"/>
      <c r="F99" s="21"/>
      <c r="G99" s="19"/>
      <c r="H99" s="22"/>
    </row>
    <row r="100" spans="1:8" x14ac:dyDescent="0.25">
      <c r="A100" s="17"/>
      <c r="B100" s="18"/>
      <c r="C100" s="19"/>
      <c r="D100" s="24"/>
      <c r="E100" s="20"/>
      <c r="F100" s="21"/>
      <c r="G100" s="19"/>
      <c r="H100" s="22"/>
    </row>
    <row r="101" spans="1:8" x14ac:dyDescent="0.25">
      <c r="A101" s="17"/>
      <c r="B101" s="18"/>
      <c r="C101" s="19"/>
      <c r="D101" s="24"/>
      <c r="E101" s="20"/>
      <c r="F101" s="21"/>
      <c r="G101" s="19"/>
      <c r="H101" s="22"/>
    </row>
    <row r="102" spans="1:8" x14ac:dyDescent="0.25">
      <c r="A102" s="17"/>
      <c r="B102" s="18"/>
      <c r="C102" s="19"/>
      <c r="D102" s="24"/>
      <c r="E102" s="20"/>
      <c r="F102" s="21"/>
      <c r="G102" s="19"/>
      <c r="H102" s="22"/>
    </row>
    <row r="103" spans="1:8" x14ac:dyDescent="0.25">
      <c r="A103" s="17"/>
      <c r="B103" s="18"/>
      <c r="C103" s="19"/>
      <c r="D103" s="24"/>
      <c r="E103" s="20"/>
      <c r="F103" s="21"/>
      <c r="G103" s="19"/>
      <c r="H103" s="22"/>
    </row>
    <row r="104" spans="1:8" x14ac:dyDescent="0.25">
      <c r="A104" s="17"/>
      <c r="B104" s="18"/>
      <c r="C104" s="19"/>
      <c r="D104" s="24"/>
      <c r="E104" s="20"/>
      <c r="F104" s="21"/>
      <c r="G104" s="19"/>
      <c r="H104" s="22"/>
    </row>
    <row r="105" spans="1:8" x14ac:dyDescent="0.25">
      <c r="A105" s="17"/>
      <c r="B105" s="18"/>
      <c r="C105" s="19"/>
      <c r="D105" s="24"/>
      <c r="E105" s="20"/>
      <c r="F105" s="21"/>
      <c r="G105" s="19"/>
      <c r="H105" s="22"/>
    </row>
    <row r="106" spans="1:8" x14ac:dyDescent="0.25">
      <c r="A106" s="17"/>
      <c r="B106" s="18"/>
      <c r="C106" s="19"/>
      <c r="D106" s="24"/>
      <c r="E106" s="20"/>
      <c r="F106" s="21"/>
      <c r="G106" s="19"/>
      <c r="H106" s="22"/>
    </row>
    <row r="107" spans="1:8" x14ac:dyDescent="0.25">
      <c r="A107" s="17"/>
      <c r="B107" s="18"/>
      <c r="C107" s="19"/>
      <c r="D107" s="24"/>
      <c r="E107" s="20"/>
      <c r="F107" s="21"/>
      <c r="G107" s="19"/>
      <c r="H107" s="22"/>
    </row>
    <row r="108" spans="1:8" x14ac:dyDescent="0.25">
      <c r="A108" s="17"/>
      <c r="B108" s="18"/>
      <c r="C108" s="19"/>
      <c r="D108" s="24"/>
      <c r="E108" s="20"/>
      <c r="F108" s="21"/>
      <c r="G108" s="19"/>
      <c r="H108" s="22"/>
    </row>
    <row r="109" spans="1:8" x14ac:dyDescent="0.25">
      <c r="A109" s="17"/>
      <c r="B109" s="18"/>
      <c r="C109" s="19"/>
      <c r="D109" s="24"/>
      <c r="E109" s="20"/>
      <c r="F109" s="21"/>
      <c r="G109" s="19"/>
      <c r="H109" s="22"/>
    </row>
    <row r="110" spans="1:8" x14ac:dyDescent="0.25">
      <c r="A110" s="17"/>
      <c r="B110" s="18"/>
      <c r="C110" s="19"/>
      <c r="D110" s="24"/>
      <c r="E110" s="20"/>
      <c r="F110" s="21"/>
      <c r="G110" s="19"/>
      <c r="H110" s="22"/>
    </row>
    <row r="111" spans="1:8" x14ac:dyDescent="0.25">
      <c r="A111" s="17"/>
      <c r="B111" s="18"/>
      <c r="C111" s="19"/>
      <c r="D111" s="24"/>
      <c r="E111" s="20"/>
      <c r="F111" s="21"/>
      <c r="G111" s="19"/>
      <c r="H111" s="22"/>
    </row>
    <row r="112" spans="1:8" x14ac:dyDescent="0.25">
      <c r="A112" s="17"/>
      <c r="B112" s="18"/>
      <c r="C112" s="19"/>
      <c r="D112" s="24"/>
      <c r="E112" s="20"/>
      <c r="F112" s="21"/>
      <c r="G112" s="19"/>
      <c r="H112" s="22"/>
    </row>
    <row r="113" spans="1:8" x14ac:dyDescent="0.25">
      <c r="A113" s="17"/>
      <c r="B113" s="18"/>
      <c r="C113" s="19"/>
      <c r="D113" s="24"/>
      <c r="E113" s="20"/>
      <c r="F113" s="21"/>
      <c r="G113" s="19"/>
      <c r="H113" s="22"/>
    </row>
    <row r="114" spans="1:8" x14ac:dyDescent="0.25">
      <c r="A114" s="17"/>
      <c r="B114" s="18"/>
      <c r="C114" s="19"/>
      <c r="D114" s="24"/>
      <c r="E114" s="20"/>
      <c r="F114" s="21"/>
      <c r="G114" s="19"/>
      <c r="H114" s="22"/>
    </row>
    <row r="115" spans="1:8" x14ac:dyDescent="0.25">
      <c r="A115" s="32"/>
      <c r="B115" s="18"/>
      <c r="C115" s="19"/>
      <c r="D115" s="24"/>
      <c r="E115" s="20"/>
      <c r="F115" s="21"/>
      <c r="G115" s="19"/>
      <c r="H115" s="22"/>
    </row>
    <row r="116" spans="1:8" x14ac:dyDescent="0.25">
      <c r="A116" s="17"/>
      <c r="B116" s="18"/>
      <c r="C116" s="19"/>
      <c r="D116" s="24"/>
      <c r="E116" s="20"/>
      <c r="F116" s="21"/>
      <c r="G116" s="19"/>
      <c r="H116" s="22"/>
    </row>
    <row r="117" spans="1:8" x14ac:dyDescent="0.25">
      <c r="A117" s="17"/>
      <c r="B117" s="18"/>
      <c r="C117" s="19"/>
      <c r="D117" s="24"/>
      <c r="E117" s="20"/>
      <c r="F117" s="21"/>
      <c r="G117" s="19"/>
      <c r="H117" s="22"/>
    </row>
    <row r="118" spans="1:8" x14ac:dyDescent="0.25">
      <c r="A118" s="17"/>
      <c r="B118" s="31"/>
      <c r="C118" s="19"/>
      <c r="D118" s="24"/>
      <c r="E118" s="20"/>
      <c r="F118" s="21"/>
      <c r="G118" s="19"/>
      <c r="H118" s="22"/>
    </row>
    <row r="119" spans="1:8" x14ac:dyDescent="0.25">
      <c r="A119" s="17"/>
      <c r="B119" s="18"/>
      <c r="C119" s="19"/>
      <c r="D119" s="24"/>
      <c r="E119" s="20"/>
      <c r="F119" s="21"/>
      <c r="G119" s="19"/>
      <c r="H119" s="22"/>
    </row>
    <row r="120" spans="1:8" x14ac:dyDescent="0.25">
      <c r="A120" s="17"/>
      <c r="B120" s="18"/>
      <c r="C120" s="19"/>
      <c r="D120" s="24"/>
      <c r="E120" s="20"/>
      <c r="F120" s="21"/>
      <c r="G120" s="19"/>
      <c r="H120" s="22"/>
    </row>
    <row r="121" spans="1:8" x14ac:dyDescent="0.25">
      <c r="A121" s="17"/>
      <c r="B121" s="31"/>
      <c r="C121" s="19"/>
      <c r="D121" s="24"/>
      <c r="E121" s="20"/>
      <c r="F121" s="21"/>
      <c r="G121" s="19"/>
      <c r="H121" s="22"/>
    </row>
    <row r="122" spans="1:8" x14ac:dyDescent="0.25">
      <c r="A122" s="17"/>
      <c r="B122" s="18"/>
      <c r="C122" s="19"/>
      <c r="D122" s="24"/>
      <c r="E122" s="20"/>
      <c r="F122" s="21"/>
      <c r="G122" s="19"/>
      <c r="H122" s="22"/>
    </row>
    <row r="123" spans="1:8" x14ac:dyDescent="0.25">
      <c r="A123" s="17"/>
      <c r="B123" s="18"/>
      <c r="C123" s="19"/>
      <c r="D123" s="24"/>
      <c r="E123" s="20"/>
      <c r="F123" s="21"/>
      <c r="G123" s="19"/>
      <c r="H123" s="22"/>
    </row>
    <row r="124" spans="1:8" x14ac:dyDescent="0.25">
      <c r="A124" s="17"/>
      <c r="B124" s="18"/>
      <c r="C124" s="19"/>
      <c r="D124" s="24"/>
      <c r="E124" s="20"/>
      <c r="F124" s="21"/>
      <c r="G124" s="19"/>
      <c r="H124" s="22"/>
    </row>
    <row r="125" spans="1:8" x14ac:dyDescent="0.25">
      <c r="A125" s="17"/>
      <c r="B125" s="18"/>
      <c r="C125" s="19"/>
      <c r="D125" s="24"/>
      <c r="E125" s="20"/>
      <c r="F125" s="21"/>
      <c r="G125" s="19"/>
      <c r="H125" s="22"/>
    </row>
    <row r="126" spans="1:8" x14ac:dyDescent="0.25">
      <c r="A126" s="17"/>
      <c r="B126" s="18"/>
      <c r="C126" s="19"/>
      <c r="D126" s="24"/>
      <c r="E126" s="20"/>
      <c r="F126" s="21"/>
      <c r="G126" s="19"/>
      <c r="H126" s="22"/>
    </row>
    <row r="127" spans="1:8" x14ac:dyDescent="0.25">
      <c r="A127" s="17"/>
      <c r="B127" s="18"/>
      <c r="C127" s="19"/>
      <c r="D127" s="24"/>
      <c r="E127" s="20"/>
      <c r="F127" s="21"/>
      <c r="G127" s="19"/>
      <c r="H127" s="22"/>
    </row>
    <row r="128" spans="1:8" x14ac:dyDescent="0.25">
      <c r="A128" s="17"/>
      <c r="B128" s="18"/>
      <c r="C128" s="19"/>
      <c r="D128" s="24"/>
      <c r="E128" s="20"/>
      <c r="F128" s="21"/>
      <c r="G128" s="19"/>
      <c r="H128" s="22"/>
    </row>
    <row r="129" spans="1:8" x14ac:dyDescent="0.25">
      <c r="A129" s="17"/>
      <c r="B129" s="18"/>
      <c r="C129" s="19"/>
      <c r="D129" s="24"/>
      <c r="E129" s="20"/>
      <c r="F129" s="21"/>
      <c r="G129" s="19"/>
      <c r="H129" s="22"/>
    </row>
    <row r="130" spans="1:8" x14ac:dyDescent="0.25">
      <c r="A130" s="17"/>
      <c r="B130" s="18"/>
      <c r="C130" s="19"/>
      <c r="D130" s="24"/>
      <c r="E130" s="20"/>
      <c r="F130" s="21"/>
      <c r="G130" s="19"/>
      <c r="H130" s="22"/>
    </row>
    <row r="131" spans="1:8" x14ac:dyDescent="0.25">
      <c r="A131" s="17"/>
      <c r="B131" s="18"/>
      <c r="C131" s="19"/>
      <c r="D131" s="24"/>
      <c r="E131" s="20"/>
      <c r="F131" s="21"/>
      <c r="G131" s="19"/>
      <c r="H131" s="22"/>
    </row>
    <row r="132" spans="1:8" x14ac:dyDescent="0.25">
      <c r="A132" s="17"/>
      <c r="B132" s="18"/>
      <c r="C132" s="19"/>
      <c r="D132" s="24"/>
      <c r="E132" s="20"/>
      <c r="F132" s="21"/>
      <c r="G132" s="19"/>
      <c r="H132" s="22"/>
    </row>
    <row r="133" spans="1:8" x14ac:dyDescent="0.25">
      <c r="A133" s="17"/>
      <c r="B133" s="18"/>
      <c r="C133" s="19"/>
      <c r="D133" s="24"/>
      <c r="E133" s="20"/>
      <c r="F133" s="21"/>
      <c r="G133" s="19"/>
      <c r="H133" s="22"/>
    </row>
    <row r="134" spans="1:8" x14ac:dyDescent="0.25">
      <c r="A134" s="17"/>
      <c r="B134" s="18"/>
      <c r="C134" s="19"/>
      <c r="D134" s="24"/>
      <c r="E134" s="20"/>
      <c r="F134" s="21"/>
      <c r="G134" s="19"/>
      <c r="H134" s="22"/>
    </row>
    <row r="135" spans="1:8" x14ac:dyDescent="0.25">
      <c r="A135" s="17"/>
      <c r="B135" s="18"/>
      <c r="C135" s="19"/>
      <c r="D135" s="24"/>
      <c r="E135" s="20"/>
      <c r="F135" s="21"/>
      <c r="G135" s="19"/>
      <c r="H135" s="22"/>
    </row>
    <row r="136" spans="1:8" x14ac:dyDescent="0.25">
      <c r="A136" s="17"/>
      <c r="B136" s="18"/>
      <c r="C136" s="19"/>
      <c r="D136" s="24"/>
      <c r="E136" s="20"/>
      <c r="F136" s="21"/>
      <c r="G136" s="19"/>
      <c r="H136" s="22"/>
    </row>
    <row r="137" spans="1:8" x14ac:dyDescent="0.25">
      <c r="A137" s="17"/>
      <c r="B137" s="18"/>
      <c r="C137" s="19"/>
      <c r="D137" s="24"/>
      <c r="E137" s="20"/>
      <c r="F137" s="21"/>
      <c r="G137" s="19"/>
      <c r="H137" s="22"/>
    </row>
    <row r="138" spans="1:8" x14ac:dyDescent="0.25">
      <c r="A138" s="17"/>
      <c r="B138" s="18"/>
      <c r="C138" s="19"/>
      <c r="D138" s="24"/>
      <c r="E138" s="20"/>
      <c r="F138" s="21"/>
      <c r="G138" s="19"/>
      <c r="H138" s="22"/>
    </row>
    <row r="139" spans="1:8" x14ac:dyDescent="0.25">
      <c r="A139" s="17"/>
      <c r="B139" s="18"/>
      <c r="C139" s="19"/>
      <c r="D139" s="24"/>
      <c r="E139" s="20"/>
      <c r="F139" s="21"/>
      <c r="G139" s="19"/>
      <c r="H139" s="22"/>
    </row>
    <row r="140" spans="1:8" x14ac:dyDescent="0.25">
      <c r="A140" s="17"/>
      <c r="B140" s="18"/>
      <c r="C140" s="19"/>
      <c r="D140" s="24"/>
      <c r="E140" s="20"/>
      <c r="F140" s="21"/>
      <c r="G140" s="19"/>
      <c r="H140" s="22"/>
    </row>
    <row r="141" spans="1:8" x14ac:dyDescent="0.25">
      <c r="A141" s="17"/>
      <c r="B141" s="18"/>
      <c r="C141" s="19"/>
      <c r="D141" s="24"/>
      <c r="E141" s="20"/>
      <c r="F141" s="21"/>
      <c r="G141" s="19"/>
      <c r="H141" s="22"/>
    </row>
    <row r="142" spans="1:8" x14ac:dyDescent="0.25">
      <c r="A142" s="17"/>
      <c r="B142" s="18"/>
      <c r="C142" s="19"/>
      <c r="D142" s="24"/>
      <c r="E142" s="20"/>
      <c r="F142" s="21"/>
      <c r="G142" s="19"/>
      <c r="H142" s="22"/>
    </row>
    <row r="143" spans="1:8" x14ac:dyDescent="0.25">
      <c r="A143" s="17"/>
      <c r="B143" s="18"/>
      <c r="C143" s="19"/>
      <c r="D143" s="24"/>
      <c r="E143" s="20"/>
      <c r="F143" s="21"/>
      <c r="G143" s="19"/>
      <c r="H143" s="22"/>
    </row>
    <row r="144" spans="1:8" x14ac:dyDescent="0.25">
      <c r="A144" s="17"/>
      <c r="B144" s="18"/>
      <c r="C144" s="19"/>
      <c r="D144" s="24"/>
      <c r="E144" s="20"/>
      <c r="F144" s="21"/>
      <c r="G144" s="19"/>
      <c r="H144" s="22"/>
    </row>
    <row r="145" spans="1:8" x14ac:dyDescent="0.25">
      <c r="A145" s="17"/>
      <c r="B145" s="18"/>
      <c r="C145" s="19"/>
      <c r="D145" s="24"/>
      <c r="E145" s="20"/>
      <c r="F145" s="21"/>
      <c r="G145" s="19"/>
      <c r="H145" s="22"/>
    </row>
    <row r="146" spans="1:8" x14ac:dyDescent="0.25">
      <c r="A146" s="17"/>
      <c r="B146" s="18"/>
      <c r="C146" s="19"/>
      <c r="D146" s="24"/>
      <c r="E146" s="20"/>
      <c r="F146" s="21"/>
      <c r="G146" s="19"/>
      <c r="H146" s="22"/>
    </row>
    <row r="147" spans="1:8" x14ac:dyDescent="0.25">
      <c r="A147" s="17"/>
      <c r="B147" s="18"/>
      <c r="C147" s="19"/>
      <c r="D147" s="24"/>
      <c r="E147" s="20"/>
      <c r="F147" s="21"/>
      <c r="G147" s="19"/>
      <c r="H147" s="22"/>
    </row>
    <row r="148" spans="1:8" x14ac:dyDescent="0.25">
      <c r="A148" s="17"/>
      <c r="B148" s="18"/>
      <c r="C148" s="19"/>
      <c r="D148" s="24"/>
      <c r="E148" s="20"/>
      <c r="F148" s="21"/>
      <c r="G148" s="19"/>
      <c r="H148" s="22"/>
    </row>
    <row r="149" spans="1:8" x14ac:dyDescent="0.25">
      <c r="A149" s="17"/>
      <c r="B149" s="18"/>
      <c r="C149" s="19"/>
      <c r="D149" s="24"/>
      <c r="E149" s="20"/>
      <c r="F149" s="21"/>
      <c r="G149" s="19"/>
      <c r="H149" s="22"/>
    </row>
    <row r="150" spans="1:8" x14ac:dyDescent="0.25">
      <c r="A150" s="17"/>
      <c r="B150" s="18"/>
      <c r="C150" s="19"/>
      <c r="D150" s="24"/>
      <c r="E150" s="20"/>
      <c r="F150" s="21"/>
      <c r="G150" s="19"/>
      <c r="H150" s="22"/>
    </row>
    <row r="151" spans="1:8" x14ac:dyDescent="0.25">
      <c r="A151" s="17"/>
      <c r="B151" s="18"/>
      <c r="C151" s="19"/>
      <c r="D151" s="24"/>
      <c r="E151" s="20"/>
      <c r="F151" s="21"/>
      <c r="G151" s="19"/>
      <c r="H151" s="22"/>
    </row>
    <row r="152" spans="1:8" x14ac:dyDescent="0.25">
      <c r="A152" s="17"/>
      <c r="B152" s="18"/>
      <c r="C152" s="19"/>
      <c r="D152" s="24"/>
      <c r="E152" s="20"/>
      <c r="F152" s="21"/>
      <c r="G152" s="19"/>
      <c r="H152" s="22"/>
    </row>
    <row r="153" spans="1:8" x14ac:dyDescent="0.25">
      <c r="A153" s="17"/>
      <c r="B153" s="18"/>
      <c r="C153" s="19"/>
      <c r="D153" s="24"/>
      <c r="E153" s="20"/>
      <c r="F153" s="21"/>
      <c r="G153" s="19"/>
      <c r="H153" s="22"/>
    </row>
    <row r="154" spans="1:8" x14ac:dyDescent="0.25">
      <c r="A154" s="17"/>
      <c r="B154" s="18"/>
      <c r="C154" s="19"/>
      <c r="D154" s="24"/>
      <c r="E154" s="20"/>
      <c r="F154" s="21"/>
      <c r="G154" s="19"/>
      <c r="H154" s="22"/>
    </row>
    <row r="155" spans="1:8" x14ac:dyDescent="0.25">
      <c r="A155" s="17"/>
      <c r="B155" s="18"/>
      <c r="C155" s="19"/>
      <c r="D155" s="24"/>
      <c r="E155" s="20"/>
      <c r="F155" s="21"/>
      <c r="G155" s="19"/>
      <c r="H155" s="22"/>
    </row>
    <row r="156" spans="1:8" x14ac:dyDescent="0.25">
      <c r="A156" s="17"/>
      <c r="B156" s="18"/>
      <c r="C156" s="19"/>
      <c r="D156" s="24"/>
      <c r="E156" s="20"/>
      <c r="F156" s="21"/>
      <c r="G156" s="19"/>
      <c r="H156" s="22"/>
    </row>
    <row r="157" spans="1:8" x14ac:dyDescent="0.25">
      <c r="A157" s="17"/>
      <c r="B157" s="18"/>
      <c r="C157" s="19"/>
      <c r="D157" s="24"/>
      <c r="E157" s="20"/>
      <c r="F157" s="21"/>
      <c r="G157" s="19"/>
      <c r="H157" s="22"/>
    </row>
    <row r="158" spans="1:8" x14ac:dyDescent="0.25">
      <c r="A158" s="17"/>
      <c r="B158" s="18"/>
      <c r="C158" s="19"/>
      <c r="D158" s="24"/>
      <c r="E158" s="20"/>
      <c r="F158" s="21"/>
      <c r="G158" s="19"/>
      <c r="H158" s="22"/>
    </row>
    <row r="159" spans="1:8" x14ac:dyDescent="0.25">
      <c r="A159" s="17"/>
      <c r="B159" s="18"/>
      <c r="C159" s="19"/>
      <c r="D159" s="24"/>
      <c r="E159" s="20"/>
      <c r="F159" s="21"/>
      <c r="G159" s="19"/>
      <c r="H159" s="22"/>
    </row>
    <row r="160" spans="1:8" x14ac:dyDescent="0.25">
      <c r="A160" s="17"/>
      <c r="B160" s="18"/>
      <c r="C160" s="19"/>
      <c r="D160" s="24"/>
      <c r="E160" s="20"/>
      <c r="F160" s="21"/>
      <c r="G160" s="19"/>
      <c r="H160" s="22"/>
    </row>
    <row r="161" spans="1:8" x14ac:dyDescent="0.25">
      <c r="A161" s="17"/>
      <c r="B161" s="18"/>
      <c r="C161" s="19"/>
      <c r="D161" s="24"/>
      <c r="E161" s="20"/>
      <c r="F161" s="21"/>
      <c r="G161" s="19"/>
      <c r="H161" s="22"/>
    </row>
    <row r="162" spans="1:8" x14ac:dyDescent="0.25">
      <c r="A162" s="32"/>
      <c r="B162" s="18"/>
      <c r="C162" s="19"/>
      <c r="D162" s="24"/>
      <c r="E162" s="20"/>
      <c r="F162" s="21"/>
      <c r="G162" s="19"/>
      <c r="H162" s="22"/>
    </row>
    <row r="163" spans="1:8" x14ac:dyDescent="0.25">
      <c r="A163" s="17"/>
      <c r="B163" s="18"/>
      <c r="C163" s="19"/>
      <c r="D163" s="24"/>
      <c r="E163" s="20"/>
      <c r="F163" s="21"/>
      <c r="G163" s="19"/>
      <c r="H163" s="22"/>
    </row>
    <row r="164" spans="1:8" x14ac:dyDescent="0.25">
      <c r="A164" s="17"/>
      <c r="B164" s="18"/>
      <c r="C164" s="19"/>
      <c r="D164" s="24"/>
      <c r="E164" s="20"/>
      <c r="F164" s="21"/>
      <c r="G164" s="19"/>
      <c r="H164" s="22"/>
    </row>
    <row r="165" spans="1:8" x14ac:dyDescent="0.25">
      <c r="A165" s="17"/>
      <c r="B165" s="18"/>
      <c r="C165" s="19"/>
      <c r="D165" s="24"/>
      <c r="E165" s="20"/>
      <c r="F165" s="21"/>
      <c r="G165" s="19"/>
      <c r="H165" s="22"/>
    </row>
    <row r="166" spans="1:8" x14ac:dyDescent="0.25">
      <c r="A166" s="17"/>
      <c r="B166" s="18"/>
      <c r="C166" s="19"/>
      <c r="D166" s="24"/>
      <c r="E166" s="20"/>
      <c r="F166" s="21"/>
      <c r="G166" s="19"/>
      <c r="H166" s="22"/>
    </row>
    <row r="167" spans="1:8" x14ac:dyDescent="0.25">
      <c r="A167" s="17"/>
      <c r="B167" s="18"/>
      <c r="C167" s="19"/>
      <c r="D167" s="24"/>
      <c r="E167" s="20"/>
      <c r="F167" s="21"/>
      <c r="G167" s="19"/>
      <c r="H167" s="22"/>
    </row>
    <row r="168" spans="1:8" x14ac:dyDescent="0.25">
      <c r="A168" s="17"/>
      <c r="B168" s="18"/>
      <c r="C168" s="19"/>
      <c r="D168" s="24"/>
      <c r="E168" s="20"/>
      <c r="F168" s="21"/>
      <c r="G168" s="19"/>
      <c r="H168" s="22"/>
    </row>
    <row r="169" spans="1:8" x14ac:dyDescent="0.25">
      <c r="A169" s="32"/>
      <c r="B169" s="31"/>
      <c r="C169" s="19"/>
      <c r="D169" s="24"/>
      <c r="E169" s="20"/>
      <c r="F169" s="21"/>
      <c r="G169" s="19"/>
      <c r="H169" s="22"/>
    </row>
    <row r="170" spans="1:8" x14ac:dyDescent="0.25">
      <c r="A170" s="2" t="s">
        <v>291</v>
      </c>
      <c r="B170" s="2">
        <f>SUBTOTAL(103,Table1367[Receipt No.])</f>
        <v>4</v>
      </c>
      <c r="C170" s="3"/>
      <c r="D170" s="28">
        <f>SUBTOTAL(109,Table1367[Amount Deposited])</f>
        <v>4955</v>
      </c>
      <c r="E170" s="27">
        <f>SUBTOTAL(109,Table1367[Amount Withdrawn])</f>
        <v>4290</v>
      </c>
      <c r="F170" s="1"/>
      <c r="G170" s="3"/>
      <c r="H170" s="4"/>
    </row>
  </sheetData>
  <mergeCells count="3">
    <mergeCell ref="A1:G1"/>
    <mergeCell ref="A3:C3"/>
    <mergeCell ref="F3:G3"/>
  </mergeCells>
  <phoneticPr fontId="16" type="noConversion"/>
  <conditionalFormatting sqref="E3">
    <cfRule type="cellIs" dxfId="17" priority="1" stopIfTrue="1" operator="lessThan">
      <formula>0</formula>
    </cfRule>
  </conditionalFormatting>
  <dataValidations count="1">
    <dataValidation type="list" allowBlank="1" showInputMessage="1" showErrorMessage="1" sqref="F28 F16:F23 F6:F14 F30 F43:F46" xr:uid="{64D63352-B4D9-474C-8DE4-4FB9A3FFE03A}">
      <formula1>$J$1:$J$10</formula1>
    </dataValidation>
  </dataValidations>
  <printOptions horizontalCentered="1"/>
  <pageMargins left="0.75" right="0.75" top="1" bottom="1" header="0.5" footer="0.5"/>
  <pageSetup scale="21" orientation="landscape" horizontalDpi="300" verticalDpi="300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4694-26A4-46DA-B959-9CB5E252B5FB}">
  <dimension ref="A1:N128"/>
  <sheetViews>
    <sheetView showGridLines="0" tabSelected="1" workbookViewId="0">
      <selection activeCell="J4" sqref="J4"/>
    </sheetView>
  </sheetViews>
  <sheetFormatPr defaultColWidth="9.1796875" defaultRowHeight="12.5" x14ac:dyDescent="0.25"/>
  <cols>
    <col min="1" max="1" width="10.1796875" style="8" bestFit="1" customWidth="1"/>
    <col min="2" max="2" width="38.1796875" style="5" customWidth="1"/>
    <col min="3" max="3" width="20.1796875" style="5" customWidth="1"/>
    <col min="4" max="4" width="18.90625" style="5" customWidth="1"/>
    <col min="5" max="7" width="16.7265625" style="9" customWidth="1"/>
    <col min="8" max="8" width="16.7265625" style="5" customWidth="1"/>
    <col min="9" max="9" width="11.81640625" style="5" bestFit="1" customWidth="1"/>
    <col min="10" max="10" width="17.453125" style="5" bestFit="1" customWidth="1"/>
    <col min="11" max="12" width="9.1796875" style="5"/>
    <col min="13" max="13" width="11.26953125" style="5" customWidth="1"/>
    <col min="14" max="14" width="10.81640625" style="5" customWidth="1"/>
    <col min="15" max="16384" width="9.1796875" style="5"/>
  </cols>
  <sheetData>
    <row r="1" spans="1:14" ht="20.5" thickBot="1" x14ac:dyDescent="0.3">
      <c r="A1" s="42" t="s">
        <v>837</v>
      </c>
      <c r="B1" s="45"/>
      <c r="C1" s="45"/>
      <c r="D1" s="45"/>
      <c r="E1" s="45"/>
      <c r="F1" s="45"/>
      <c r="G1" s="45"/>
      <c r="H1" s="41">
        <v>2026</v>
      </c>
      <c r="I1" s="1"/>
      <c r="J1" s="6" t="s">
        <v>2</v>
      </c>
    </row>
    <row r="2" spans="1:14" ht="15.5" x14ac:dyDescent="0.25">
      <c r="A2" s="7"/>
      <c r="B2" s="1"/>
      <c r="C2" s="1"/>
      <c r="D2" s="1"/>
      <c r="E2" s="43"/>
      <c r="F2" s="43"/>
      <c r="G2" s="43"/>
      <c r="H2" s="1"/>
      <c r="I2" s="1"/>
      <c r="J2" s="6" t="s">
        <v>3</v>
      </c>
    </row>
    <row r="3" spans="1:14" ht="13.5" x14ac:dyDescent="0.25">
      <c r="A3" s="53" t="str">
        <f>"For "&amp;TEXT(MIN(A5:A122),"dd/mm/yyyy")&amp;" through "&amp;TEXT(MAX(A5:A122),"dd/mm/yyyy")</f>
        <v>For 00/01/1900 through 00/01/1900</v>
      </c>
      <c r="B3" s="54"/>
      <c r="C3" s="49"/>
      <c r="D3" s="49"/>
      <c r="E3" s="10" t="s">
        <v>4</v>
      </c>
      <c r="F3" s="35">
        <f>E123-F123</f>
        <v>0</v>
      </c>
      <c r="G3" s="35"/>
      <c r="H3" s="34"/>
      <c r="I3" s="1"/>
      <c r="J3" s="6" t="s">
        <v>5</v>
      </c>
    </row>
    <row r="4" spans="1:14" ht="21" x14ac:dyDescent="0.25">
      <c r="A4" s="14" t="s">
        <v>7</v>
      </c>
      <c r="B4" s="15" t="s">
        <v>9</v>
      </c>
      <c r="C4" s="15" t="s">
        <v>946</v>
      </c>
      <c r="D4" s="15" t="s">
        <v>947</v>
      </c>
      <c r="E4" s="16" t="s">
        <v>948</v>
      </c>
      <c r="F4" s="16" t="s">
        <v>949</v>
      </c>
      <c r="G4" s="16" t="s">
        <v>950</v>
      </c>
      <c r="H4" s="16" t="s">
        <v>951</v>
      </c>
      <c r="I4" s="55" t="s">
        <v>952</v>
      </c>
      <c r="J4" s="55" t="s">
        <v>953</v>
      </c>
      <c r="K4" s="15" t="s">
        <v>13</v>
      </c>
      <c r="L4" s="39" t="s">
        <v>4</v>
      </c>
      <c r="M4" s="48" t="s">
        <v>838</v>
      </c>
      <c r="N4" s="6" t="s">
        <v>6</v>
      </c>
    </row>
    <row r="5" spans="1:14" ht="13.5" x14ac:dyDescent="0.25">
      <c r="A5" s="17"/>
      <c r="B5" s="19"/>
      <c r="C5" s="19"/>
      <c r="D5" s="19"/>
      <c r="E5" s="36"/>
      <c r="F5" s="36"/>
      <c r="G5" s="36"/>
      <c r="H5" s="36"/>
      <c r="I5" s="36"/>
      <c r="J5" s="36"/>
      <c r="K5" s="19"/>
      <c r="L5" s="40"/>
      <c r="M5" s="47"/>
      <c r="N5" s="6" t="s">
        <v>15</v>
      </c>
    </row>
    <row r="6" spans="1:14" s="21" customFormat="1" x14ac:dyDescent="0.25">
      <c r="A6" s="17"/>
      <c r="B6" s="19"/>
      <c r="C6" s="19"/>
      <c r="D6" s="19"/>
      <c r="E6" s="36"/>
      <c r="F6" s="36"/>
      <c r="G6" s="36"/>
      <c r="H6" s="36"/>
      <c r="I6" s="36"/>
      <c r="J6" s="36"/>
      <c r="K6" s="19"/>
      <c r="L6" s="40"/>
      <c r="M6" s="47"/>
      <c r="N6" s="23" t="s">
        <v>21</v>
      </c>
    </row>
    <row r="7" spans="1:14" s="21" customFormat="1" x14ac:dyDescent="0.25">
      <c r="A7" s="17"/>
      <c r="B7" s="19"/>
      <c r="C7" s="19"/>
      <c r="D7" s="19"/>
      <c r="E7" s="36"/>
      <c r="F7" s="36"/>
      <c r="G7" s="36"/>
      <c r="H7" s="36"/>
      <c r="I7" s="36"/>
      <c r="J7" s="36"/>
      <c r="K7" s="19"/>
      <c r="L7" s="40"/>
      <c r="M7" s="47"/>
      <c r="N7" s="23"/>
    </row>
    <row r="8" spans="1:14" s="21" customFormat="1" x14ac:dyDescent="0.25">
      <c r="A8" s="17"/>
      <c r="B8" s="19"/>
      <c r="C8" s="19"/>
      <c r="D8" s="19"/>
      <c r="E8" s="36"/>
      <c r="F8" s="36"/>
      <c r="G8" s="36"/>
      <c r="H8" s="36"/>
      <c r="I8" s="36"/>
      <c r="J8" s="36"/>
      <c r="K8" s="19"/>
      <c r="L8" s="40"/>
      <c r="M8" s="47"/>
      <c r="N8" s="23"/>
    </row>
    <row r="9" spans="1:14" s="21" customFormat="1" ht="11.5" x14ac:dyDescent="0.25">
      <c r="A9" s="17"/>
      <c r="B9" s="19"/>
      <c r="C9" s="19"/>
      <c r="D9" s="19"/>
      <c r="E9" s="36"/>
      <c r="F9" s="36"/>
      <c r="G9" s="36"/>
      <c r="H9" s="36"/>
      <c r="I9" s="36"/>
      <c r="J9" s="36"/>
      <c r="K9" s="19"/>
      <c r="L9" s="40"/>
      <c r="M9" s="47"/>
    </row>
    <row r="10" spans="1:14" s="21" customFormat="1" ht="11.5" x14ac:dyDescent="0.25">
      <c r="A10" s="17"/>
      <c r="B10" s="19"/>
      <c r="C10" s="19"/>
      <c r="D10" s="19"/>
      <c r="E10" s="36"/>
      <c r="F10" s="36"/>
      <c r="G10" s="36"/>
      <c r="H10" s="36"/>
      <c r="I10" s="36"/>
      <c r="J10" s="36"/>
      <c r="K10" s="19"/>
      <c r="L10" s="40"/>
      <c r="M10" s="47"/>
    </row>
    <row r="11" spans="1:14" s="21" customFormat="1" ht="11.5" x14ac:dyDescent="0.25">
      <c r="A11" s="17"/>
      <c r="B11" s="19"/>
      <c r="C11" s="19"/>
      <c r="D11" s="19"/>
      <c r="E11" s="36"/>
      <c r="F11" s="36"/>
      <c r="G11" s="36"/>
      <c r="H11" s="36"/>
      <c r="I11" s="36"/>
      <c r="J11" s="36"/>
      <c r="K11" s="19"/>
      <c r="L11" s="40"/>
      <c r="M11" s="47"/>
    </row>
    <row r="12" spans="1:14" s="21" customFormat="1" ht="11.5" x14ac:dyDescent="0.25">
      <c r="A12" s="17"/>
      <c r="B12" s="19"/>
      <c r="C12" s="19"/>
      <c r="D12" s="19"/>
      <c r="E12" s="36"/>
      <c r="F12" s="36"/>
      <c r="G12" s="36"/>
      <c r="H12" s="36"/>
      <c r="I12" s="36"/>
      <c r="J12" s="36"/>
      <c r="K12" s="19"/>
      <c r="L12" s="40"/>
      <c r="M12" s="47"/>
    </row>
    <row r="13" spans="1:14" s="21" customFormat="1" ht="11.5" x14ac:dyDescent="0.25">
      <c r="A13" s="17"/>
      <c r="B13" s="19"/>
      <c r="C13" s="19"/>
      <c r="D13" s="19"/>
      <c r="E13" s="36"/>
      <c r="F13" s="36"/>
      <c r="G13" s="36"/>
      <c r="H13" s="36"/>
      <c r="I13" s="36"/>
      <c r="J13" s="36"/>
      <c r="K13" s="19"/>
      <c r="L13" s="40"/>
      <c r="M13" s="47"/>
    </row>
    <row r="14" spans="1:14" s="21" customFormat="1" ht="11.5" x14ac:dyDescent="0.25">
      <c r="A14" s="17"/>
      <c r="B14" s="19"/>
      <c r="C14" s="19"/>
      <c r="D14" s="19"/>
      <c r="E14" s="36"/>
      <c r="F14" s="36"/>
      <c r="G14" s="36"/>
      <c r="H14" s="36"/>
      <c r="I14" s="36"/>
      <c r="J14" s="36"/>
      <c r="K14" s="19"/>
      <c r="L14" s="40"/>
      <c r="M14" s="47"/>
    </row>
    <row r="15" spans="1:14" s="21" customFormat="1" ht="11.5" x14ac:dyDescent="0.25">
      <c r="A15" s="17"/>
      <c r="B15" s="19"/>
      <c r="C15" s="19"/>
      <c r="D15" s="19"/>
      <c r="E15" s="36"/>
      <c r="F15" s="36"/>
      <c r="G15" s="36"/>
      <c r="H15" s="36"/>
      <c r="I15" s="36"/>
      <c r="J15" s="36"/>
      <c r="K15" s="19"/>
      <c r="L15" s="40"/>
      <c r="M15" s="47"/>
    </row>
    <row r="16" spans="1:14" s="21" customFormat="1" ht="11.5" x14ac:dyDescent="0.25">
      <c r="A16" s="17"/>
      <c r="B16" s="19"/>
      <c r="C16" s="19"/>
      <c r="D16" s="19"/>
      <c r="E16" s="36"/>
      <c r="F16" s="36"/>
      <c r="G16" s="36"/>
      <c r="H16" s="36"/>
      <c r="I16" s="36"/>
      <c r="J16" s="36"/>
      <c r="K16" s="19"/>
      <c r="L16" s="40"/>
      <c r="M16" s="47"/>
    </row>
    <row r="17" spans="1:13" s="21" customFormat="1" ht="11.5" x14ac:dyDescent="0.25">
      <c r="A17" s="17"/>
      <c r="B17" s="19"/>
      <c r="C17" s="19"/>
      <c r="D17" s="19"/>
      <c r="E17" s="36"/>
      <c r="F17" s="36"/>
      <c r="G17" s="36"/>
      <c r="H17" s="36"/>
      <c r="I17" s="36"/>
      <c r="J17" s="36"/>
      <c r="K17" s="19"/>
      <c r="L17" s="40"/>
      <c r="M17" s="47"/>
    </row>
    <row r="18" spans="1:13" s="21" customFormat="1" ht="11.5" x14ac:dyDescent="0.25">
      <c r="A18" s="17"/>
      <c r="B18" s="19"/>
      <c r="C18" s="19"/>
      <c r="D18" s="19"/>
      <c r="E18" s="36"/>
      <c r="F18" s="36"/>
      <c r="G18" s="36"/>
      <c r="H18" s="36"/>
      <c r="I18" s="36"/>
      <c r="J18" s="36"/>
      <c r="K18" s="19"/>
      <c r="L18" s="40"/>
      <c r="M18" s="47"/>
    </row>
    <row r="19" spans="1:13" x14ac:dyDescent="0.25">
      <c r="A19" s="17"/>
      <c r="B19" s="19"/>
      <c r="C19" s="19"/>
      <c r="D19" s="19"/>
      <c r="E19" s="36"/>
      <c r="F19" s="36"/>
      <c r="G19" s="36"/>
      <c r="H19" s="36"/>
      <c r="I19" s="36"/>
      <c r="J19" s="36"/>
      <c r="K19" s="19"/>
      <c r="L19" s="40"/>
      <c r="M19" s="47"/>
    </row>
    <row r="20" spans="1:13" x14ac:dyDescent="0.25">
      <c r="A20" s="17"/>
      <c r="B20" s="19"/>
      <c r="C20" s="19"/>
      <c r="D20" s="19"/>
      <c r="E20" s="36"/>
      <c r="F20" s="36"/>
      <c r="G20" s="36"/>
      <c r="H20" s="36"/>
      <c r="I20" s="36"/>
      <c r="J20" s="36"/>
      <c r="K20" s="19"/>
      <c r="L20" s="40"/>
      <c r="M20" s="47"/>
    </row>
    <row r="21" spans="1:13" x14ac:dyDescent="0.25">
      <c r="A21" s="17"/>
      <c r="B21" s="19"/>
      <c r="C21" s="19"/>
      <c r="D21" s="19"/>
      <c r="E21" s="36"/>
      <c r="F21" s="36"/>
      <c r="G21" s="36"/>
      <c r="H21" s="36"/>
      <c r="I21" s="36"/>
      <c r="J21" s="36"/>
      <c r="K21" s="19"/>
      <c r="L21" s="40"/>
      <c r="M21" s="47"/>
    </row>
    <row r="22" spans="1:13" x14ac:dyDescent="0.25">
      <c r="A22" s="17"/>
      <c r="B22" s="19"/>
      <c r="C22" s="19"/>
      <c r="D22" s="19"/>
      <c r="E22" s="36"/>
      <c r="F22" s="36"/>
      <c r="G22" s="36"/>
      <c r="H22" s="36"/>
      <c r="I22" s="36"/>
      <c r="J22" s="36"/>
      <c r="K22" s="19"/>
      <c r="L22" s="40"/>
      <c r="M22" s="47"/>
    </row>
    <row r="23" spans="1:13" x14ac:dyDescent="0.25">
      <c r="A23" s="17"/>
      <c r="B23" s="19"/>
      <c r="C23" s="19"/>
      <c r="D23" s="19"/>
      <c r="E23" s="36"/>
      <c r="F23" s="36"/>
      <c r="G23" s="36"/>
      <c r="H23" s="36"/>
      <c r="I23" s="36"/>
      <c r="J23" s="36"/>
      <c r="K23" s="19"/>
      <c r="L23" s="40"/>
      <c r="M23" s="47"/>
    </row>
    <row r="24" spans="1:13" x14ac:dyDescent="0.25">
      <c r="A24" s="17"/>
      <c r="B24" s="19"/>
      <c r="C24" s="19"/>
      <c r="D24" s="19"/>
      <c r="E24" s="36"/>
      <c r="F24" s="36"/>
      <c r="G24" s="36"/>
      <c r="H24" s="36"/>
      <c r="I24" s="36"/>
      <c r="J24" s="36"/>
      <c r="K24" s="19"/>
      <c r="L24" s="40"/>
      <c r="M24" s="47"/>
    </row>
    <row r="25" spans="1:13" x14ac:dyDescent="0.25">
      <c r="A25" s="17"/>
      <c r="B25" s="19"/>
      <c r="C25" s="19"/>
      <c r="D25" s="19"/>
      <c r="E25" s="36"/>
      <c r="F25" s="36"/>
      <c r="G25" s="36"/>
      <c r="H25" s="36"/>
      <c r="I25" s="36"/>
      <c r="J25" s="36"/>
      <c r="K25" s="19"/>
      <c r="L25" s="40"/>
      <c r="M25" s="47"/>
    </row>
    <row r="26" spans="1:13" x14ac:dyDescent="0.25">
      <c r="A26" s="17"/>
      <c r="B26" s="19"/>
      <c r="C26" s="19"/>
      <c r="D26" s="19"/>
      <c r="E26" s="36"/>
      <c r="F26" s="36"/>
      <c r="G26" s="36"/>
      <c r="H26" s="36"/>
      <c r="I26" s="36"/>
      <c r="J26" s="36"/>
      <c r="K26" s="19"/>
      <c r="L26" s="40"/>
      <c r="M26" s="47"/>
    </row>
    <row r="27" spans="1:13" x14ac:dyDescent="0.25">
      <c r="A27" s="17"/>
      <c r="B27" s="19"/>
      <c r="C27" s="19"/>
      <c r="D27" s="19"/>
      <c r="E27" s="36"/>
      <c r="F27" s="36"/>
      <c r="G27" s="36"/>
      <c r="H27" s="36"/>
      <c r="I27" s="36"/>
      <c r="J27" s="36"/>
      <c r="K27" s="19"/>
      <c r="L27" s="40"/>
      <c r="M27" s="47"/>
    </row>
    <row r="28" spans="1:13" x14ac:dyDescent="0.25">
      <c r="A28" s="17"/>
      <c r="B28" s="19"/>
      <c r="C28" s="19"/>
      <c r="D28" s="19"/>
      <c r="E28" s="36"/>
      <c r="F28" s="36"/>
      <c r="G28" s="36"/>
      <c r="H28" s="36"/>
      <c r="I28" s="36"/>
      <c r="J28" s="36"/>
      <c r="K28" s="19"/>
      <c r="L28" s="40"/>
      <c r="M28" s="47"/>
    </row>
    <row r="29" spans="1:13" x14ac:dyDescent="0.25">
      <c r="A29" s="17"/>
      <c r="B29" s="19"/>
      <c r="C29" s="19"/>
      <c r="D29" s="19"/>
      <c r="E29" s="36"/>
      <c r="F29" s="36"/>
      <c r="G29" s="36"/>
      <c r="H29" s="36"/>
      <c r="I29" s="36"/>
      <c r="J29" s="36"/>
      <c r="K29" s="19"/>
      <c r="L29" s="40"/>
      <c r="M29" s="47"/>
    </row>
    <row r="30" spans="1:13" x14ac:dyDescent="0.25">
      <c r="A30" s="17"/>
      <c r="B30" s="19"/>
      <c r="C30" s="19"/>
      <c r="D30" s="19"/>
      <c r="E30" s="36"/>
      <c r="F30" s="36"/>
      <c r="G30" s="36"/>
      <c r="H30" s="36"/>
      <c r="I30" s="36"/>
      <c r="J30" s="36"/>
      <c r="K30" s="19"/>
      <c r="L30" s="40"/>
      <c r="M30" s="47"/>
    </row>
    <row r="31" spans="1:13" x14ac:dyDescent="0.25">
      <c r="A31" s="17"/>
      <c r="B31" s="19"/>
      <c r="C31" s="19"/>
      <c r="D31" s="19"/>
      <c r="E31" s="36"/>
      <c r="F31" s="36"/>
      <c r="G31" s="36"/>
      <c r="H31" s="36"/>
      <c r="I31" s="36"/>
      <c r="J31" s="36"/>
      <c r="K31" s="19"/>
      <c r="L31" s="40"/>
      <c r="M31" s="47"/>
    </row>
    <row r="32" spans="1:13" x14ac:dyDescent="0.25">
      <c r="A32" s="17"/>
      <c r="B32" s="19"/>
      <c r="C32" s="19"/>
      <c r="D32" s="19"/>
      <c r="E32" s="36"/>
      <c r="F32" s="36"/>
      <c r="G32" s="36"/>
      <c r="H32" s="36"/>
      <c r="I32" s="36"/>
      <c r="J32" s="36"/>
      <c r="K32" s="19"/>
      <c r="L32" s="40"/>
      <c r="M32" s="47"/>
    </row>
    <row r="33" spans="1:14" x14ac:dyDescent="0.25">
      <c r="A33" s="17"/>
      <c r="B33" s="19"/>
      <c r="C33" s="19"/>
      <c r="D33" s="19"/>
      <c r="E33" s="36"/>
      <c r="F33" s="36"/>
      <c r="G33" s="36"/>
      <c r="H33" s="36"/>
      <c r="I33" s="36"/>
      <c r="J33" s="36"/>
      <c r="K33" s="19"/>
      <c r="L33" s="40"/>
      <c r="M33" s="47"/>
    </row>
    <row r="34" spans="1:14" x14ac:dyDescent="0.25">
      <c r="A34" s="17"/>
      <c r="B34" s="19"/>
      <c r="C34" s="19"/>
      <c r="D34" s="19"/>
      <c r="E34" s="36"/>
      <c r="F34" s="36"/>
      <c r="G34" s="36"/>
      <c r="H34" s="36"/>
      <c r="I34" s="36"/>
      <c r="J34" s="36"/>
      <c r="K34" s="19"/>
      <c r="L34" s="40"/>
      <c r="M34" s="47"/>
    </row>
    <row r="35" spans="1:14" x14ac:dyDescent="0.25">
      <c r="A35" s="17"/>
      <c r="B35" s="19"/>
      <c r="C35" s="19"/>
      <c r="D35" s="19"/>
      <c r="E35" s="36"/>
      <c r="F35" s="36"/>
      <c r="G35" s="36"/>
      <c r="H35" s="36"/>
      <c r="I35" s="36"/>
      <c r="J35" s="36"/>
      <c r="K35" s="19"/>
      <c r="L35" s="40"/>
      <c r="M35" s="47"/>
      <c r="N35" s="1"/>
    </row>
    <row r="36" spans="1:14" x14ac:dyDescent="0.25">
      <c r="A36" s="17"/>
      <c r="B36" s="19"/>
      <c r="C36" s="19"/>
      <c r="D36" s="19"/>
      <c r="E36" s="36"/>
      <c r="F36" s="36"/>
      <c r="G36" s="36"/>
      <c r="H36" s="36"/>
      <c r="I36" s="36"/>
      <c r="J36" s="36"/>
      <c r="K36" s="19"/>
      <c r="L36" s="40"/>
      <c r="M36" s="47"/>
      <c r="N36" s="1"/>
    </row>
    <row r="37" spans="1:14" x14ac:dyDescent="0.25">
      <c r="A37" s="17"/>
      <c r="B37" s="19"/>
      <c r="C37" s="19"/>
      <c r="D37" s="19"/>
      <c r="E37" s="36"/>
      <c r="F37" s="36"/>
      <c r="G37" s="36"/>
      <c r="H37" s="36"/>
      <c r="I37" s="36"/>
      <c r="J37" s="36"/>
      <c r="K37" s="19"/>
      <c r="L37" s="40"/>
      <c r="M37" s="47"/>
      <c r="N37" s="1"/>
    </row>
    <row r="38" spans="1:14" x14ac:dyDescent="0.25">
      <c r="A38" s="17"/>
      <c r="B38" s="19"/>
      <c r="C38" s="19"/>
      <c r="D38" s="19"/>
      <c r="E38" s="36"/>
      <c r="F38" s="36"/>
      <c r="G38" s="36"/>
      <c r="H38" s="36"/>
      <c r="I38" s="36"/>
      <c r="J38" s="36"/>
      <c r="K38" s="19"/>
      <c r="L38" s="40"/>
      <c r="M38" s="47"/>
      <c r="N38" s="1"/>
    </row>
    <row r="39" spans="1:14" x14ac:dyDescent="0.25">
      <c r="A39" s="17"/>
      <c r="B39" s="19"/>
      <c r="C39" s="19"/>
      <c r="D39" s="19"/>
      <c r="E39" s="36"/>
      <c r="F39" s="36"/>
      <c r="G39" s="36"/>
      <c r="H39" s="36"/>
      <c r="I39" s="36"/>
      <c r="J39" s="36"/>
      <c r="K39" s="19"/>
      <c r="L39" s="40"/>
      <c r="M39" s="47"/>
      <c r="N39" s="1"/>
    </row>
    <row r="40" spans="1:14" x14ac:dyDescent="0.25">
      <c r="A40" s="17"/>
      <c r="B40" s="19"/>
      <c r="C40" s="19"/>
      <c r="D40" s="19"/>
      <c r="E40" s="36"/>
      <c r="F40" s="36"/>
      <c r="G40" s="36"/>
      <c r="H40" s="36"/>
      <c r="I40" s="36"/>
      <c r="J40" s="36"/>
      <c r="K40" s="19"/>
      <c r="L40" s="40"/>
      <c r="M40" s="47"/>
      <c r="N40" s="1"/>
    </row>
    <row r="41" spans="1:14" x14ac:dyDescent="0.25">
      <c r="A41" s="17"/>
      <c r="B41" s="19"/>
      <c r="C41" s="19"/>
      <c r="D41" s="19"/>
      <c r="E41" s="36"/>
      <c r="F41" s="36"/>
      <c r="G41" s="36"/>
      <c r="H41" s="36"/>
      <c r="I41" s="36"/>
      <c r="J41" s="36"/>
      <c r="K41" s="19"/>
      <c r="L41" s="40"/>
      <c r="M41" s="47"/>
      <c r="N41" s="1"/>
    </row>
    <row r="42" spans="1:14" x14ac:dyDescent="0.25">
      <c r="A42" s="17"/>
      <c r="B42" s="19"/>
      <c r="C42" s="19"/>
      <c r="D42" s="19"/>
      <c r="E42" s="36"/>
      <c r="F42" s="36"/>
      <c r="G42" s="36"/>
      <c r="H42" s="36"/>
      <c r="I42" s="36"/>
      <c r="J42" s="36"/>
      <c r="K42" s="19"/>
      <c r="L42" s="40"/>
      <c r="M42" s="47"/>
      <c r="N42" s="1"/>
    </row>
    <row r="43" spans="1:14" x14ac:dyDescent="0.25">
      <c r="A43" s="17"/>
      <c r="B43" s="19"/>
      <c r="C43" s="19"/>
      <c r="D43" s="19"/>
      <c r="E43" s="36"/>
      <c r="F43" s="36"/>
      <c r="G43" s="36"/>
      <c r="H43" s="36"/>
      <c r="I43" s="36"/>
      <c r="J43" s="36"/>
      <c r="K43" s="19"/>
      <c r="L43" s="40"/>
      <c r="M43" s="47"/>
      <c r="N43" s="1"/>
    </row>
    <row r="44" spans="1:14" x14ac:dyDescent="0.25">
      <c r="A44" s="17"/>
      <c r="B44" s="19"/>
      <c r="C44" s="19"/>
      <c r="D44" s="19"/>
      <c r="E44" s="36"/>
      <c r="F44" s="36"/>
      <c r="G44" s="36"/>
      <c r="H44" s="36"/>
      <c r="I44" s="36"/>
      <c r="J44" s="36"/>
      <c r="K44" s="19"/>
      <c r="L44" s="40"/>
      <c r="M44" s="47"/>
      <c r="N44" s="1"/>
    </row>
    <row r="45" spans="1:14" x14ac:dyDescent="0.25">
      <c r="A45" s="17"/>
      <c r="B45" s="19"/>
      <c r="C45" s="19"/>
      <c r="D45" s="19"/>
      <c r="E45" s="36"/>
      <c r="F45" s="36"/>
      <c r="G45" s="36"/>
      <c r="H45" s="36"/>
      <c r="I45" s="36"/>
      <c r="J45" s="36"/>
      <c r="K45" s="19"/>
      <c r="L45" s="40"/>
      <c r="M45" s="47"/>
      <c r="N45" s="1"/>
    </row>
    <row r="46" spans="1:14" x14ac:dyDescent="0.25">
      <c r="A46" s="17"/>
      <c r="B46" s="19"/>
      <c r="C46" s="19"/>
      <c r="D46" s="19"/>
      <c r="E46" s="36"/>
      <c r="F46" s="36"/>
      <c r="G46" s="36"/>
      <c r="H46" s="36"/>
      <c r="I46" s="36"/>
      <c r="J46" s="36"/>
      <c r="K46" s="19"/>
      <c r="L46" s="40"/>
      <c r="M46" s="47"/>
      <c r="N46" s="1"/>
    </row>
    <row r="47" spans="1:14" x14ac:dyDescent="0.25">
      <c r="A47" s="17"/>
      <c r="B47" s="19"/>
      <c r="C47" s="19"/>
      <c r="D47" s="19"/>
      <c r="E47" s="36"/>
      <c r="F47" s="36"/>
      <c r="G47" s="36"/>
      <c r="H47" s="36"/>
      <c r="I47" s="36"/>
      <c r="J47" s="36"/>
      <c r="K47" s="19"/>
      <c r="L47" s="40"/>
      <c r="M47" s="47"/>
      <c r="N47" s="1"/>
    </row>
    <row r="48" spans="1:14" x14ac:dyDescent="0.25">
      <c r="A48" s="17"/>
      <c r="B48" s="19"/>
      <c r="C48" s="19"/>
      <c r="D48" s="19"/>
      <c r="E48" s="36"/>
      <c r="F48" s="36"/>
      <c r="G48" s="36"/>
      <c r="H48" s="36"/>
      <c r="I48" s="36"/>
      <c r="J48" s="36"/>
      <c r="K48" s="19"/>
      <c r="L48" s="40"/>
      <c r="M48" s="47"/>
      <c r="N48" s="1"/>
    </row>
    <row r="49" spans="1:14" x14ac:dyDescent="0.25">
      <c r="A49" s="17"/>
      <c r="B49" s="19"/>
      <c r="C49" s="19"/>
      <c r="D49" s="19"/>
      <c r="E49" s="36"/>
      <c r="F49" s="36"/>
      <c r="G49" s="36"/>
      <c r="H49" s="36"/>
      <c r="I49" s="36"/>
      <c r="J49" s="36"/>
      <c r="K49" s="19"/>
      <c r="L49" s="40"/>
      <c r="M49" s="47"/>
      <c r="N49" s="1"/>
    </row>
    <row r="50" spans="1:14" x14ac:dyDescent="0.25">
      <c r="A50" s="17"/>
      <c r="B50" s="19"/>
      <c r="C50" s="19"/>
      <c r="D50" s="19"/>
      <c r="E50" s="36"/>
      <c r="F50" s="36"/>
      <c r="G50" s="36"/>
      <c r="H50" s="36"/>
      <c r="I50" s="36"/>
      <c r="J50" s="36"/>
      <c r="K50" s="19"/>
      <c r="L50" s="40"/>
      <c r="M50" s="47"/>
      <c r="N50" s="1"/>
    </row>
    <row r="51" spans="1:14" x14ac:dyDescent="0.25">
      <c r="A51" s="17"/>
      <c r="B51" s="19"/>
      <c r="C51" s="19"/>
      <c r="D51" s="19"/>
      <c r="E51" s="36"/>
      <c r="F51" s="36"/>
      <c r="G51" s="36"/>
      <c r="H51" s="36"/>
      <c r="I51" s="36"/>
      <c r="J51" s="36"/>
      <c r="K51" s="19"/>
      <c r="L51" s="40"/>
      <c r="M51" s="47"/>
      <c r="N51" s="1"/>
    </row>
    <row r="52" spans="1:14" x14ac:dyDescent="0.25">
      <c r="A52" s="17"/>
      <c r="B52" s="19"/>
      <c r="C52" s="19"/>
      <c r="D52" s="19"/>
      <c r="E52" s="36"/>
      <c r="F52" s="36"/>
      <c r="G52" s="36"/>
      <c r="H52" s="36"/>
      <c r="I52" s="36"/>
      <c r="J52" s="36"/>
      <c r="K52" s="19"/>
      <c r="L52" s="40"/>
      <c r="M52" s="47"/>
      <c r="N52" s="1"/>
    </row>
    <row r="53" spans="1:14" x14ac:dyDescent="0.25">
      <c r="A53" s="17"/>
      <c r="B53" s="19"/>
      <c r="C53" s="19"/>
      <c r="D53" s="19"/>
      <c r="E53" s="36"/>
      <c r="F53" s="36"/>
      <c r="G53" s="36"/>
      <c r="H53" s="36"/>
      <c r="I53" s="36"/>
      <c r="J53" s="36"/>
      <c r="K53" s="19"/>
      <c r="L53" s="40"/>
      <c r="M53" s="47"/>
      <c r="N53" s="1"/>
    </row>
    <row r="54" spans="1:14" x14ac:dyDescent="0.25">
      <c r="A54" s="17"/>
      <c r="B54" s="19"/>
      <c r="C54" s="19"/>
      <c r="D54" s="19"/>
      <c r="E54" s="36"/>
      <c r="F54" s="36"/>
      <c r="G54" s="36"/>
      <c r="H54" s="36"/>
      <c r="I54" s="36"/>
      <c r="J54" s="36"/>
      <c r="K54" s="19"/>
      <c r="L54" s="40"/>
      <c r="M54" s="47"/>
      <c r="N54" s="1"/>
    </row>
    <row r="55" spans="1:14" x14ac:dyDescent="0.25">
      <c r="A55" s="17"/>
      <c r="B55" s="19"/>
      <c r="C55" s="19"/>
      <c r="D55" s="19"/>
      <c r="E55" s="36"/>
      <c r="F55" s="36"/>
      <c r="G55" s="36"/>
      <c r="H55" s="36"/>
      <c r="I55" s="36"/>
      <c r="J55" s="36"/>
      <c r="K55" s="19"/>
      <c r="L55" s="40"/>
      <c r="M55" s="47"/>
      <c r="N55" s="1"/>
    </row>
    <row r="56" spans="1:14" x14ac:dyDescent="0.25">
      <c r="A56" s="17"/>
      <c r="B56" s="19"/>
      <c r="C56" s="19"/>
      <c r="D56" s="19"/>
      <c r="E56" s="36"/>
      <c r="F56" s="36"/>
      <c r="G56" s="36"/>
      <c r="H56" s="36"/>
      <c r="I56" s="36"/>
      <c r="J56" s="36"/>
      <c r="K56" s="19"/>
      <c r="L56" s="40"/>
      <c r="M56" s="47"/>
      <c r="N56" s="1"/>
    </row>
    <row r="57" spans="1:14" x14ac:dyDescent="0.25">
      <c r="A57" s="17"/>
      <c r="B57" s="19"/>
      <c r="C57" s="19"/>
      <c r="D57" s="19"/>
      <c r="E57" s="36"/>
      <c r="F57" s="36"/>
      <c r="G57" s="36"/>
      <c r="H57" s="36"/>
      <c r="I57" s="36"/>
      <c r="J57" s="36"/>
      <c r="K57" s="19"/>
      <c r="L57" s="40"/>
      <c r="M57" s="47"/>
      <c r="N57" s="1"/>
    </row>
    <row r="58" spans="1:14" x14ac:dyDescent="0.25">
      <c r="A58" s="17"/>
      <c r="B58" s="19"/>
      <c r="C58" s="19"/>
      <c r="D58" s="19"/>
      <c r="E58" s="36"/>
      <c r="F58" s="36"/>
      <c r="G58" s="36"/>
      <c r="H58" s="36"/>
      <c r="I58" s="36"/>
      <c r="J58" s="36"/>
      <c r="K58" s="19"/>
      <c r="L58" s="40"/>
      <c r="M58" s="47"/>
      <c r="N58" s="1"/>
    </row>
    <row r="59" spans="1:14" x14ac:dyDescent="0.25">
      <c r="A59" s="17"/>
      <c r="B59" s="19"/>
      <c r="C59" s="19"/>
      <c r="D59" s="19"/>
      <c r="E59" s="36"/>
      <c r="F59" s="36"/>
      <c r="G59" s="36"/>
      <c r="H59" s="36"/>
      <c r="I59" s="36"/>
      <c r="J59" s="36"/>
      <c r="K59" s="19"/>
      <c r="L59" s="40"/>
      <c r="M59" s="47"/>
      <c r="N59" s="1"/>
    </row>
    <row r="60" spans="1:14" x14ac:dyDescent="0.25">
      <c r="A60" s="17"/>
      <c r="B60" s="19"/>
      <c r="C60" s="19"/>
      <c r="D60" s="19"/>
      <c r="E60" s="36"/>
      <c r="F60" s="36"/>
      <c r="G60" s="36"/>
      <c r="H60" s="36"/>
      <c r="I60" s="36"/>
      <c r="J60" s="36"/>
      <c r="K60" s="19"/>
      <c r="L60" s="40"/>
      <c r="M60" s="47"/>
      <c r="N60" s="1"/>
    </row>
    <row r="61" spans="1:14" x14ac:dyDescent="0.25">
      <c r="A61" s="17"/>
      <c r="B61" s="19"/>
      <c r="C61" s="19"/>
      <c r="D61" s="19"/>
      <c r="E61" s="36"/>
      <c r="F61" s="36"/>
      <c r="G61" s="36"/>
      <c r="H61" s="36"/>
      <c r="I61" s="36"/>
      <c r="J61" s="36"/>
      <c r="K61" s="19"/>
      <c r="L61" s="40"/>
      <c r="M61" s="47"/>
      <c r="N61" s="1"/>
    </row>
    <row r="62" spans="1:14" x14ac:dyDescent="0.25">
      <c r="A62" s="17"/>
      <c r="B62" s="19"/>
      <c r="C62" s="19"/>
      <c r="D62" s="19"/>
      <c r="E62" s="36"/>
      <c r="F62" s="36"/>
      <c r="G62" s="36"/>
      <c r="H62" s="36"/>
      <c r="I62" s="36"/>
      <c r="J62" s="36"/>
      <c r="K62" s="19"/>
      <c r="L62" s="40"/>
      <c r="M62" s="47"/>
      <c r="N62" s="1"/>
    </row>
    <row r="63" spans="1:14" x14ac:dyDescent="0.25">
      <c r="A63" s="17"/>
      <c r="B63" s="19"/>
      <c r="C63" s="19"/>
      <c r="D63" s="19"/>
      <c r="E63" s="36"/>
      <c r="F63" s="36"/>
      <c r="G63" s="36"/>
      <c r="H63" s="36"/>
      <c r="I63" s="36"/>
      <c r="J63" s="36"/>
      <c r="K63" s="19"/>
      <c r="L63" s="40"/>
      <c r="M63" s="47"/>
      <c r="N63" s="1"/>
    </row>
    <row r="64" spans="1:14" x14ac:dyDescent="0.25">
      <c r="A64" s="17"/>
      <c r="B64" s="19"/>
      <c r="C64" s="19"/>
      <c r="D64" s="19"/>
      <c r="E64" s="36"/>
      <c r="F64" s="36"/>
      <c r="G64" s="36"/>
      <c r="H64" s="36"/>
      <c r="I64" s="36"/>
      <c r="J64" s="36"/>
      <c r="K64" s="19"/>
      <c r="L64" s="40"/>
      <c r="M64" s="47"/>
      <c r="N64" s="1"/>
    </row>
    <row r="65" spans="1:14" x14ac:dyDescent="0.25">
      <c r="A65" s="17"/>
      <c r="B65" s="19"/>
      <c r="C65" s="19"/>
      <c r="D65" s="19"/>
      <c r="E65" s="36"/>
      <c r="F65" s="36"/>
      <c r="G65" s="36"/>
      <c r="H65" s="36"/>
      <c r="I65" s="36"/>
      <c r="J65" s="36"/>
      <c r="K65" s="19"/>
      <c r="L65" s="40"/>
      <c r="M65" s="47"/>
      <c r="N65" s="1"/>
    </row>
    <row r="66" spans="1:14" x14ac:dyDescent="0.25">
      <c r="A66" s="17"/>
      <c r="B66" s="19"/>
      <c r="C66" s="19"/>
      <c r="D66" s="19"/>
      <c r="E66" s="36"/>
      <c r="F66" s="36"/>
      <c r="G66" s="36"/>
      <c r="H66" s="36"/>
      <c r="I66" s="36"/>
      <c r="J66" s="36"/>
      <c r="K66" s="19"/>
      <c r="L66" s="40"/>
      <c r="M66" s="47"/>
      <c r="N66" s="1"/>
    </row>
    <row r="67" spans="1:14" x14ac:dyDescent="0.25">
      <c r="A67" s="17"/>
      <c r="B67" s="19"/>
      <c r="C67" s="19"/>
      <c r="D67" s="19"/>
      <c r="E67" s="36"/>
      <c r="F67" s="36"/>
      <c r="G67" s="36"/>
      <c r="H67" s="36"/>
      <c r="I67" s="36"/>
      <c r="J67" s="36"/>
      <c r="K67" s="19"/>
      <c r="L67" s="40"/>
      <c r="M67" s="47"/>
      <c r="N67" s="1"/>
    </row>
    <row r="68" spans="1:14" x14ac:dyDescent="0.25">
      <c r="A68" s="17"/>
      <c r="B68" s="19"/>
      <c r="C68" s="19"/>
      <c r="D68" s="19"/>
      <c r="E68" s="36"/>
      <c r="F68" s="36"/>
      <c r="G68" s="36"/>
      <c r="H68" s="36"/>
      <c r="I68" s="36"/>
      <c r="J68" s="36"/>
      <c r="K68" s="19"/>
      <c r="L68" s="40"/>
      <c r="M68" s="47"/>
      <c r="N68" s="1"/>
    </row>
    <row r="69" spans="1:14" x14ac:dyDescent="0.25">
      <c r="A69" s="17"/>
      <c r="B69" s="19"/>
      <c r="C69" s="19"/>
      <c r="D69" s="19"/>
      <c r="E69" s="36"/>
      <c r="F69" s="36"/>
      <c r="G69" s="36"/>
      <c r="H69" s="36"/>
      <c r="I69" s="36"/>
      <c r="J69" s="36"/>
      <c r="K69" s="19"/>
      <c r="L69" s="40"/>
      <c r="M69" s="47"/>
      <c r="N69" s="1"/>
    </row>
    <row r="70" spans="1:14" x14ac:dyDescent="0.25">
      <c r="A70" s="17"/>
      <c r="B70" s="19"/>
      <c r="C70" s="19"/>
      <c r="D70" s="19"/>
      <c r="E70" s="36"/>
      <c r="F70" s="36"/>
      <c r="G70" s="36"/>
      <c r="H70" s="36"/>
      <c r="I70" s="36"/>
      <c r="J70" s="36"/>
      <c r="K70" s="19"/>
      <c r="L70" s="40"/>
      <c r="M70" s="47"/>
      <c r="N70" s="1"/>
    </row>
    <row r="71" spans="1:14" x14ac:dyDescent="0.25">
      <c r="A71" s="17"/>
      <c r="B71" s="19"/>
      <c r="C71" s="19"/>
      <c r="D71" s="19"/>
      <c r="E71" s="36"/>
      <c r="F71" s="36"/>
      <c r="G71" s="36"/>
      <c r="H71" s="36"/>
      <c r="I71" s="36"/>
      <c r="J71" s="36"/>
      <c r="K71" s="19"/>
      <c r="L71" s="40"/>
      <c r="M71" s="47"/>
      <c r="N71" s="1"/>
    </row>
    <row r="72" spans="1:14" x14ac:dyDescent="0.25">
      <c r="A72" s="17"/>
      <c r="B72" s="19"/>
      <c r="C72" s="19"/>
      <c r="D72" s="19"/>
      <c r="E72" s="36"/>
      <c r="F72" s="36"/>
      <c r="G72" s="36"/>
      <c r="H72" s="36"/>
      <c r="I72" s="36"/>
      <c r="J72" s="36"/>
      <c r="K72" s="19"/>
      <c r="L72" s="40"/>
      <c r="M72" s="47"/>
      <c r="N72" s="1"/>
    </row>
    <row r="73" spans="1:14" x14ac:dyDescent="0.25">
      <c r="A73" s="17"/>
      <c r="B73" s="19"/>
      <c r="C73" s="19"/>
      <c r="D73" s="19"/>
      <c r="E73" s="36"/>
      <c r="F73" s="36"/>
      <c r="G73" s="36"/>
      <c r="H73" s="36"/>
      <c r="I73" s="36"/>
      <c r="J73" s="36"/>
      <c r="K73" s="19"/>
      <c r="L73" s="40"/>
      <c r="M73" s="47"/>
      <c r="N73" s="1"/>
    </row>
    <row r="74" spans="1:14" x14ac:dyDescent="0.25">
      <c r="A74" s="17"/>
      <c r="B74" s="19"/>
      <c r="C74" s="19"/>
      <c r="D74" s="19"/>
      <c r="E74" s="36"/>
      <c r="F74" s="36"/>
      <c r="G74" s="36"/>
      <c r="H74" s="36"/>
      <c r="I74" s="36"/>
      <c r="J74" s="36"/>
      <c r="K74" s="19"/>
      <c r="L74" s="40"/>
      <c r="M74" s="47"/>
      <c r="N74" s="1"/>
    </row>
    <row r="75" spans="1:14" x14ac:dyDescent="0.25">
      <c r="A75" s="17"/>
      <c r="B75" s="19"/>
      <c r="C75" s="19"/>
      <c r="D75" s="19"/>
      <c r="E75" s="36"/>
      <c r="F75" s="36"/>
      <c r="G75" s="36"/>
      <c r="H75" s="36"/>
      <c r="I75" s="36"/>
      <c r="J75" s="36"/>
      <c r="K75" s="19"/>
      <c r="L75" s="40"/>
      <c r="M75" s="47"/>
      <c r="N75" s="1"/>
    </row>
    <row r="76" spans="1:14" x14ac:dyDescent="0.25">
      <c r="A76" s="17"/>
      <c r="B76" s="19"/>
      <c r="C76" s="19"/>
      <c r="D76" s="19"/>
      <c r="E76" s="36"/>
      <c r="F76" s="36"/>
      <c r="G76" s="36"/>
      <c r="H76" s="36"/>
      <c r="I76" s="36"/>
      <c r="J76" s="36"/>
      <c r="K76" s="19"/>
      <c r="L76" s="40"/>
      <c r="M76" s="47"/>
      <c r="N76" s="1"/>
    </row>
    <row r="77" spans="1:14" ht="13" customHeight="1" x14ac:dyDescent="0.25">
      <c r="A77" s="17"/>
      <c r="B77" s="19"/>
      <c r="C77" s="19"/>
      <c r="D77" s="19"/>
      <c r="E77" s="36"/>
      <c r="F77" s="36"/>
      <c r="G77" s="36"/>
      <c r="H77" s="36"/>
      <c r="I77" s="36"/>
      <c r="J77" s="36"/>
      <c r="K77" s="19"/>
      <c r="L77" s="40"/>
      <c r="M77" s="47"/>
      <c r="N77" s="1"/>
    </row>
    <row r="78" spans="1:14" ht="13" customHeight="1" x14ac:dyDescent="0.25">
      <c r="A78" s="17"/>
      <c r="B78" s="19"/>
      <c r="C78" s="19"/>
      <c r="D78" s="19"/>
      <c r="E78" s="36"/>
      <c r="F78" s="36"/>
      <c r="G78" s="36"/>
      <c r="H78" s="36"/>
      <c r="I78" s="36"/>
      <c r="J78" s="36"/>
      <c r="K78" s="19"/>
      <c r="L78" s="40"/>
      <c r="M78" s="47"/>
      <c r="N78" s="1"/>
    </row>
    <row r="79" spans="1:14" ht="13" customHeight="1" x14ac:dyDescent="0.25">
      <c r="A79" s="17"/>
      <c r="B79" s="19"/>
      <c r="C79" s="19"/>
      <c r="D79" s="19"/>
      <c r="E79" s="36"/>
      <c r="F79" s="36"/>
      <c r="G79" s="36"/>
      <c r="H79" s="36"/>
      <c r="I79" s="36"/>
      <c r="J79" s="36"/>
      <c r="K79" s="19"/>
      <c r="L79" s="40"/>
      <c r="M79" s="47"/>
      <c r="N79" s="1"/>
    </row>
    <row r="80" spans="1:14" ht="13" customHeight="1" x14ac:dyDescent="0.25">
      <c r="A80" s="17"/>
      <c r="B80" s="19"/>
      <c r="C80" s="19"/>
      <c r="D80" s="19"/>
      <c r="E80" s="36"/>
      <c r="F80" s="36"/>
      <c r="G80" s="36"/>
      <c r="H80" s="36"/>
      <c r="I80" s="36"/>
      <c r="J80" s="36"/>
      <c r="K80" s="19"/>
      <c r="L80" s="40"/>
      <c r="M80" s="47"/>
      <c r="N80" s="1"/>
    </row>
    <row r="81" spans="1:14" ht="13" customHeight="1" x14ac:dyDescent="0.25">
      <c r="A81" s="17"/>
      <c r="B81" s="19"/>
      <c r="C81" s="19"/>
      <c r="D81" s="19"/>
      <c r="E81" s="36"/>
      <c r="F81" s="36"/>
      <c r="G81" s="36"/>
      <c r="H81" s="36"/>
      <c r="I81" s="36"/>
      <c r="J81" s="36"/>
      <c r="K81" s="19"/>
      <c r="L81" s="40"/>
      <c r="M81" s="47"/>
      <c r="N81" s="1"/>
    </row>
    <row r="82" spans="1:14" ht="13" customHeight="1" x14ac:dyDescent="0.25">
      <c r="A82" s="17"/>
      <c r="B82" s="19"/>
      <c r="C82" s="19"/>
      <c r="D82" s="19"/>
      <c r="E82" s="36"/>
      <c r="F82" s="36"/>
      <c r="G82" s="36"/>
      <c r="H82" s="36"/>
      <c r="I82" s="36"/>
      <c r="J82" s="36"/>
      <c r="K82" s="19"/>
      <c r="L82" s="40"/>
      <c r="M82" s="47"/>
      <c r="N82" s="1"/>
    </row>
    <row r="83" spans="1:14" ht="13" customHeight="1" x14ac:dyDescent="0.25">
      <c r="A83" s="17"/>
      <c r="B83" s="19"/>
      <c r="C83" s="19"/>
      <c r="D83" s="19"/>
      <c r="E83" s="36"/>
      <c r="F83" s="36"/>
      <c r="G83" s="36"/>
      <c r="H83" s="36"/>
      <c r="I83" s="36"/>
      <c r="J83" s="36"/>
      <c r="K83" s="19"/>
      <c r="L83" s="40"/>
      <c r="M83" s="47"/>
      <c r="N83" s="1"/>
    </row>
    <row r="84" spans="1:14" ht="13" customHeight="1" x14ac:dyDescent="0.25">
      <c r="A84" s="17"/>
      <c r="B84" s="19"/>
      <c r="C84" s="19"/>
      <c r="D84" s="19"/>
      <c r="E84" s="36"/>
      <c r="F84" s="36"/>
      <c r="G84" s="36"/>
      <c r="H84" s="36"/>
      <c r="I84" s="36"/>
      <c r="J84" s="36"/>
      <c r="K84" s="19"/>
      <c r="L84" s="40"/>
      <c r="M84" s="47"/>
      <c r="N84" s="1"/>
    </row>
    <row r="85" spans="1:14" ht="13" customHeight="1" x14ac:dyDescent="0.25">
      <c r="A85" s="17"/>
      <c r="B85" s="19"/>
      <c r="C85" s="19"/>
      <c r="D85" s="19"/>
      <c r="E85" s="36"/>
      <c r="F85" s="36"/>
      <c r="G85" s="36"/>
      <c r="H85" s="36"/>
      <c r="I85" s="36"/>
      <c r="J85" s="36"/>
      <c r="K85" s="19"/>
      <c r="L85" s="40"/>
      <c r="M85" s="47"/>
      <c r="N85" s="1"/>
    </row>
    <row r="86" spans="1:14" ht="13" customHeight="1" x14ac:dyDescent="0.25">
      <c r="A86" s="17"/>
      <c r="B86" s="19"/>
      <c r="C86" s="19"/>
      <c r="D86" s="19"/>
      <c r="E86" s="36"/>
      <c r="F86" s="36"/>
      <c r="G86" s="36"/>
      <c r="H86" s="36"/>
      <c r="I86" s="36"/>
      <c r="J86" s="36"/>
      <c r="K86" s="19"/>
      <c r="L86" s="40"/>
      <c r="M86" s="47"/>
      <c r="N86" s="1"/>
    </row>
    <row r="87" spans="1:14" ht="13" customHeight="1" x14ac:dyDescent="0.25">
      <c r="A87" s="17"/>
      <c r="B87" s="19"/>
      <c r="C87" s="19"/>
      <c r="D87" s="19"/>
      <c r="E87" s="36"/>
      <c r="F87" s="36"/>
      <c r="G87" s="36"/>
      <c r="H87" s="36"/>
      <c r="I87" s="36"/>
      <c r="J87" s="36"/>
      <c r="K87" s="19"/>
      <c r="L87" s="40"/>
      <c r="M87" s="47"/>
      <c r="N87" s="1"/>
    </row>
    <row r="88" spans="1:14" ht="13" customHeight="1" x14ac:dyDescent="0.25">
      <c r="A88" s="17"/>
      <c r="B88" s="19"/>
      <c r="C88" s="19"/>
      <c r="D88" s="19"/>
      <c r="E88" s="36"/>
      <c r="F88" s="36"/>
      <c r="G88" s="36"/>
      <c r="H88" s="36"/>
      <c r="I88" s="36"/>
      <c r="J88" s="36"/>
      <c r="K88" s="19"/>
      <c r="L88" s="40"/>
      <c r="M88" s="47"/>
      <c r="N88" s="1"/>
    </row>
    <row r="89" spans="1:14" ht="13" customHeight="1" x14ac:dyDescent="0.25">
      <c r="A89" s="17"/>
      <c r="B89" s="19"/>
      <c r="C89" s="19"/>
      <c r="D89" s="19"/>
      <c r="E89" s="36"/>
      <c r="F89" s="36"/>
      <c r="G89" s="36"/>
      <c r="H89" s="36"/>
      <c r="I89" s="36"/>
      <c r="J89" s="36"/>
      <c r="K89" s="19"/>
      <c r="L89" s="40"/>
      <c r="M89" s="47"/>
      <c r="N89" s="1"/>
    </row>
    <row r="90" spans="1:14" ht="13" customHeight="1" x14ac:dyDescent="0.25">
      <c r="A90" s="17"/>
      <c r="B90" s="19"/>
      <c r="C90" s="19"/>
      <c r="D90" s="19"/>
      <c r="E90" s="36"/>
      <c r="F90" s="36"/>
      <c r="G90" s="36"/>
      <c r="H90" s="36"/>
      <c r="I90" s="36"/>
      <c r="J90" s="36"/>
      <c r="K90" s="19"/>
      <c r="L90" s="40"/>
      <c r="M90" s="47"/>
      <c r="N90" s="1"/>
    </row>
    <row r="91" spans="1:14" ht="13" customHeight="1" x14ac:dyDescent="0.25">
      <c r="A91" s="17"/>
      <c r="B91" s="19"/>
      <c r="C91" s="19"/>
      <c r="D91" s="19"/>
      <c r="E91" s="36"/>
      <c r="F91" s="36"/>
      <c r="G91" s="36"/>
      <c r="H91" s="36"/>
      <c r="I91" s="36"/>
      <c r="J91" s="36"/>
      <c r="K91" s="19"/>
      <c r="L91" s="40"/>
      <c r="M91" s="47"/>
      <c r="N91" s="1"/>
    </row>
    <row r="92" spans="1:14" ht="13" customHeight="1" x14ac:dyDescent="0.25">
      <c r="A92" s="17"/>
      <c r="B92" s="19"/>
      <c r="C92" s="19"/>
      <c r="D92" s="19"/>
      <c r="E92" s="36"/>
      <c r="F92" s="36"/>
      <c r="G92" s="36"/>
      <c r="H92" s="36"/>
      <c r="I92" s="36"/>
      <c r="J92" s="36"/>
      <c r="K92" s="19"/>
      <c r="L92" s="40"/>
      <c r="M92" s="47"/>
      <c r="N92" s="1"/>
    </row>
    <row r="93" spans="1:14" ht="13" customHeight="1" x14ac:dyDescent="0.25">
      <c r="A93" s="17"/>
      <c r="B93" s="19"/>
      <c r="C93" s="19"/>
      <c r="D93" s="19"/>
      <c r="E93" s="36"/>
      <c r="F93" s="36"/>
      <c r="G93" s="36"/>
      <c r="H93" s="36"/>
      <c r="I93" s="36"/>
      <c r="J93" s="36"/>
      <c r="K93" s="19"/>
      <c r="L93" s="40"/>
      <c r="M93" s="47"/>
      <c r="N93" s="1"/>
    </row>
    <row r="94" spans="1:14" ht="13" customHeight="1" x14ac:dyDescent="0.25">
      <c r="A94" s="17"/>
      <c r="B94" s="19"/>
      <c r="C94" s="19"/>
      <c r="D94" s="19"/>
      <c r="E94" s="36"/>
      <c r="F94" s="36"/>
      <c r="G94" s="36"/>
      <c r="H94" s="36"/>
      <c r="I94" s="36"/>
      <c r="J94" s="36"/>
      <c r="K94" s="19"/>
      <c r="L94" s="40"/>
      <c r="M94" s="47"/>
      <c r="N94" s="1"/>
    </row>
    <row r="95" spans="1:14" ht="13" customHeight="1" x14ac:dyDescent="0.25">
      <c r="A95" s="17"/>
      <c r="B95" s="19"/>
      <c r="C95" s="19"/>
      <c r="D95" s="19"/>
      <c r="E95" s="36"/>
      <c r="F95" s="36"/>
      <c r="G95" s="36"/>
      <c r="H95" s="36"/>
      <c r="I95" s="36"/>
      <c r="J95" s="36"/>
      <c r="K95" s="19"/>
      <c r="L95" s="40"/>
      <c r="M95" s="47"/>
      <c r="N95" s="1"/>
    </row>
    <row r="96" spans="1:14" ht="13" customHeight="1" x14ac:dyDescent="0.25">
      <c r="A96" s="17"/>
      <c r="B96" s="19"/>
      <c r="C96" s="19"/>
      <c r="D96" s="19"/>
      <c r="E96" s="36"/>
      <c r="F96" s="36"/>
      <c r="G96" s="36"/>
      <c r="H96" s="36"/>
      <c r="I96" s="36"/>
      <c r="J96" s="36"/>
      <c r="K96" s="19"/>
      <c r="L96" s="40"/>
      <c r="M96" s="47"/>
      <c r="N96" s="1"/>
    </row>
    <row r="97" spans="1:14" ht="21" customHeight="1" x14ac:dyDescent="0.25">
      <c r="A97" s="17"/>
      <c r="B97" s="19"/>
      <c r="C97" s="19"/>
      <c r="D97" s="19"/>
      <c r="E97" s="36"/>
      <c r="F97" s="36"/>
      <c r="G97" s="36"/>
      <c r="H97" s="36"/>
      <c r="I97" s="36"/>
      <c r="J97" s="36"/>
      <c r="K97" s="19"/>
      <c r="L97" s="40"/>
      <c r="M97" s="47"/>
      <c r="N97" s="1"/>
    </row>
    <row r="98" spans="1:14" ht="11.25" customHeight="1" x14ac:dyDescent="0.25">
      <c r="A98" s="17"/>
      <c r="B98" s="19"/>
      <c r="C98" s="19"/>
      <c r="D98" s="19"/>
      <c r="E98" s="36"/>
      <c r="F98" s="36"/>
      <c r="G98" s="36"/>
      <c r="H98" s="36"/>
      <c r="I98" s="36"/>
      <c r="J98" s="36"/>
      <c r="K98" s="19"/>
      <c r="L98" s="40"/>
      <c r="M98" s="47"/>
      <c r="N98" s="1"/>
    </row>
    <row r="99" spans="1:14" ht="13" customHeight="1" x14ac:dyDescent="0.25">
      <c r="A99" s="17"/>
      <c r="B99" s="19"/>
      <c r="C99" s="19"/>
      <c r="D99" s="19"/>
      <c r="E99" s="36"/>
      <c r="F99" s="36"/>
      <c r="G99" s="36"/>
      <c r="H99" s="36"/>
      <c r="I99" s="36"/>
      <c r="J99" s="36"/>
      <c r="K99" s="19"/>
      <c r="L99" s="40"/>
      <c r="M99" s="47"/>
      <c r="N99" s="1"/>
    </row>
    <row r="100" spans="1:14" ht="13" customHeight="1" x14ac:dyDescent="0.25">
      <c r="A100" s="17"/>
      <c r="B100" s="19"/>
      <c r="C100" s="19"/>
      <c r="D100" s="19"/>
      <c r="E100" s="36"/>
      <c r="F100" s="36"/>
      <c r="G100" s="36"/>
      <c r="H100" s="36"/>
      <c r="I100" s="36"/>
      <c r="J100" s="36"/>
      <c r="K100" s="19"/>
      <c r="L100" s="40"/>
      <c r="M100" s="47"/>
      <c r="N100" s="1"/>
    </row>
    <row r="101" spans="1:14" x14ac:dyDescent="0.25">
      <c r="A101" s="17"/>
      <c r="B101" s="19"/>
      <c r="C101" s="19"/>
      <c r="D101" s="19"/>
      <c r="E101" s="36"/>
      <c r="F101" s="36"/>
      <c r="G101" s="36"/>
      <c r="H101" s="36"/>
      <c r="I101" s="36"/>
      <c r="J101" s="36"/>
      <c r="K101" s="19"/>
      <c r="L101" s="40"/>
      <c r="M101" s="47"/>
      <c r="N101" s="1"/>
    </row>
    <row r="102" spans="1:14" x14ac:dyDescent="0.25">
      <c r="A102" s="17"/>
      <c r="B102" s="19"/>
      <c r="C102" s="19"/>
      <c r="D102" s="19"/>
      <c r="E102" s="36"/>
      <c r="F102" s="36"/>
      <c r="G102" s="36"/>
      <c r="H102" s="36"/>
      <c r="I102" s="36"/>
      <c r="J102" s="36"/>
      <c r="K102" s="19"/>
      <c r="L102" s="40"/>
      <c r="M102" s="47"/>
      <c r="N102" s="1"/>
    </row>
    <row r="103" spans="1:14" x14ac:dyDescent="0.25">
      <c r="A103" s="17"/>
      <c r="B103" s="19"/>
      <c r="C103" s="19"/>
      <c r="D103" s="19"/>
      <c r="E103" s="36"/>
      <c r="F103" s="36"/>
      <c r="G103" s="36"/>
      <c r="H103" s="36"/>
      <c r="I103" s="36"/>
      <c r="J103" s="36"/>
      <c r="K103" s="19"/>
      <c r="L103" s="40"/>
      <c r="M103" s="47"/>
      <c r="N103" s="1"/>
    </row>
    <row r="104" spans="1:14" x14ac:dyDescent="0.25">
      <c r="A104" s="17"/>
      <c r="B104" s="19"/>
      <c r="C104" s="19"/>
      <c r="D104" s="19"/>
      <c r="E104" s="36"/>
      <c r="F104" s="36"/>
      <c r="G104" s="36"/>
      <c r="H104" s="36"/>
      <c r="I104" s="36"/>
      <c r="J104" s="36"/>
      <c r="K104" s="19"/>
      <c r="L104" s="40"/>
      <c r="M104" s="47"/>
      <c r="N104" s="1"/>
    </row>
    <row r="105" spans="1:14" x14ac:dyDescent="0.25">
      <c r="A105" s="17"/>
      <c r="B105" s="19"/>
      <c r="C105" s="19"/>
      <c r="D105" s="19"/>
      <c r="E105" s="36"/>
      <c r="F105" s="36"/>
      <c r="G105" s="36"/>
      <c r="H105" s="36"/>
      <c r="I105" s="36"/>
      <c r="J105" s="36"/>
      <c r="K105" s="19"/>
      <c r="L105" s="40"/>
      <c r="M105" s="47"/>
      <c r="N105" s="1"/>
    </row>
    <row r="106" spans="1:14" x14ac:dyDescent="0.25">
      <c r="A106" s="17"/>
      <c r="B106" s="19"/>
      <c r="C106" s="19"/>
      <c r="D106" s="19"/>
      <c r="E106" s="36"/>
      <c r="F106" s="36"/>
      <c r="G106" s="36"/>
      <c r="H106" s="36"/>
      <c r="I106" s="36"/>
      <c r="J106" s="36"/>
      <c r="K106" s="19"/>
      <c r="L106" s="40"/>
      <c r="M106" s="47"/>
      <c r="N106" s="1"/>
    </row>
    <row r="107" spans="1:14" x14ac:dyDescent="0.25">
      <c r="A107" s="17"/>
      <c r="B107" s="19"/>
      <c r="C107" s="19"/>
      <c r="D107" s="19"/>
      <c r="E107" s="36"/>
      <c r="F107" s="36"/>
      <c r="G107" s="36"/>
      <c r="H107" s="36"/>
      <c r="I107" s="36"/>
      <c r="J107" s="36"/>
      <c r="K107" s="19"/>
      <c r="L107" s="40"/>
      <c r="M107" s="47"/>
      <c r="N107" s="1"/>
    </row>
    <row r="108" spans="1:14" x14ac:dyDescent="0.25">
      <c r="A108" s="17"/>
      <c r="B108" s="19"/>
      <c r="C108" s="19"/>
      <c r="D108" s="19"/>
      <c r="E108" s="36"/>
      <c r="F108" s="36"/>
      <c r="G108" s="36"/>
      <c r="H108" s="36"/>
      <c r="I108" s="36"/>
      <c r="J108" s="36"/>
      <c r="K108" s="19"/>
      <c r="L108" s="40"/>
      <c r="M108" s="47"/>
      <c r="N108" s="1"/>
    </row>
    <row r="109" spans="1:14" x14ac:dyDescent="0.25">
      <c r="A109" s="17"/>
      <c r="B109" s="19"/>
      <c r="C109" s="19"/>
      <c r="D109" s="19"/>
      <c r="E109" s="36"/>
      <c r="F109" s="36"/>
      <c r="G109" s="36"/>
      <c r="H109" s="36"/>
      <c r="I109" s="36"/>
      <c r="J109" s="36"/>
      <c r="K109" s="19"/>
      <c r="L109" s="40"/>
      <c r="M109" s="47"/>
      <c r="N109" s="1"/>
    </row>
    <row r="110" spans="1:14" x14ac:dyDescent="0.25">
      <c r="A110" s="17"/>
      <c r="B110" s="19"/>
      <c r="C110" s="19"/>
      <c r="D110" s="19"/>
      <c r="E110" s="36"/>
      <c r="F110" s="36"/>
      <c r="G110" s="36"/>
      <c r="H110" s="36"/>
      <c r="I110" s="36"/>
      <c r="J110" s="36"/>
      <c r="K110" s="19"/>
      <c r="L110" s="40"/>
      <c r="M110" s="47"/>
      <c r="N110" s="1"/>
    </row>
    <row r="111" spans="1:14" x14ac:dyDescent="0.25">
      <c r="A111" s="17"/>
      <c r="B111" s="19"/>
      <c r="C111" s="19"/>
      <c r="D111" s="19"/>
      <c r="E111" s="36"/>
      <c r="F111" s="36"/>
      <c r="G111" s="36"/>
      <c r="H111" s="36"/>
      <c r="I111" s="36"/>
      <c r="J111" s="36"/>
      <c r="K111" s="19"/>
      <c r="L111" s="40"/>
      <c r="M111" s="47"/>
      <c r="N111" s="1"/>
    </row>
    <row r="112" spans="1:14" x14ac:dyDescent="0.25">
      <c r="A112" s="17"/>
      <c r="B112" s="19"/>
      <c r="C112" s="19"/>
      <c r="D112" s="19"/>
      <c r="E112" s="36"/>
      <c r="F112" s="36"/>
      <c r="G112" s="36"/>
      <c r="H112" s="36"/>
      <c r="I112" s="36"/>
      <c r="J112" s="36"/>
      <c r="K112" s="19"/>
      <c r="L112" s="40"/>
      <c r="M112" s="47"/>
      <c r="N112" s="1"/>
    </row>
    <row r="113" spans="1:14" x14ac:dyDescent="0.25">
      <c r="A113" s="17"/>
      <c r="B113" s="19"/>
      <c r="C113" s="19"/>
      <c r="D113" s="19"/>
      <c r="E113" s="36"/>
      <c r="F113" s="36"/>
      <c r="G113" s="36"/>
      <c r="H113" s="36"/>
      <c r="I113" s="36"/>
      <c r="J113" s="36"/>
      <c r="K113" s="19"/>
      <c r="L113" s="40"/>
      <c r="M113" s="47"/>
      <c r="N113" s="1"/>
    </row>
    <row r="114" spans="1:14" x14ac:dyDescent="0.25">
      <c r="A114" s="17"/>
      <c r="B114" s="19"/>
      <c r="C114" s="19"/>
      <c r="D114" s="19"/>
      <c r="E114" s="36"/>
      <c r="F114" s="36"/>
      <c r="G114" s="36"/>
      <c r="H114" s="36"/>
      <c r="I114" s="36"/>
      <c r="J114" s="36"/>
      <c r="K114" s="19"/>
      <c r="L114" s="40"/>
      <c r="M114" s="47"/>
      <c r="N114" s="1"/>
    </row>
    <row r="115" spans="1:14" x14ac:dyDescent="0.25">
      <c r="A115" s="17"/>
      <c r="B115" s="19"/>
      <c r="C115" s="19"/>
      <c r="D115" s="19"/>
      <c r="E115" s="36"/>
      <c r="F115" s="36"/>
      <c r="G115" s="36"/>
      <c r="H115" s="36"/>
      <c r="I115" s="36"/>
      <c r="J115" s="36"/>
      <c r="K115" s="19"/>
      <c r="L115" s="40"/>
      <c r="M115" s="47"/>
      <c r="N115" s="1"/>
    </row>
    <row r="116" spans="1:14" x14ac:dyDescent="0.25">
      <c r="A116" s="17"/>
      <c r="B116" s="19"/>
      <c r="C116" s="19"/>
      <c r="D116" s="19"/>
      <c r="E116" s="36"/>
      <c r="F116" s="36"/>
      <c r="G116" s="36"/>
      <c r="H116" s="36"/>
      <c r="I116" s="36"/>
      <c r="J116" s="36"/>
      <c r="K116" s="19"/>
      <c r="L116" s="40"/>
      <c r="M116" s="47"/>
      <c r="N116" s="1"/>
    </row>
    <row r="117" spans="1:14" x14ac:dyDescent="0.25">
      <c r="A117" s="17"/>
      <c r="B117" s="19"/>
      <c r="C117" s="19"/>
      <c r="D117" s="19"/>
      <c r="E117" s="36"/>
      <c r="F117" s="36"/>
      <c r="G117" s="36"/>
      <c r="H117" s="36"/>
      <c r="I117" s="36"/>
      <c r="J117" s="36"/>
      <c r="K117" s="19"/>
      <c r="L117" s="40"/>
      <c r="M117" s="47"/>
      <c r="N117" s="1"/>
    </row>
    <row r="118" spans="1:14" x14ac:dyDescent="0.25">
      <c r="A118" s="17"/>
      <c r="B118" s="19"/>
      <c r="C118" s="19"/>
      <c r="D118" s="19"/>
      <c r="E118" s="36"/>
      <c r="F118" s="36"/>
      <c r="G118" s="36"/>
      <c r="H118" s="36"/>
      <c r="I118" s="36"/>
      <c r="J118" s="36"/>
      <c r="K118" s="19"/>
      <c r="L118" s="40"/>
      <c r="M118" s="47"/>
      <c r="N118" s="1"/>
    </row>
    <row r="119" spans="1:14" x14ac:dyDescent="0.25">
      <c r="A119" s="17"/>
      <c r="B119" s="19"/>
      <c r="C119" s="19"/>
      <c r="D119" s="19"/>
      <c r="E119" s="36"/>
      <c r="F119" s="36"/>
      <c r="G119" s="36"/>
      <c r="H119" s="36"/>
      <c r="I119" s="36"/>
      <c r="J119" s="36"/>
      <c r="K119" s="19"/>
      <c r="L119" s="40"/>
      <c r="M119" s="47"/>
      <c r="N119" s="1"/>
    </row>
    <row r="120" spans="1:14" x14ac:dyDescent="0.25">
      <c r="A120" s="17"/>
      <c r="B120" s="19"/>
      <c r="C120" s="19"/>
      <c r="D120" s="19"/>
      <c r="E120" s="36"/>
      <c r="F120" s="36"/>
      <c r="G120" s="36"/>
      <c r="H120" s="36"/>
      <c r="I120" s="36"/>
      <c r="J120" s="36"/>
      <c r="K120" s="19"/>
      <c r="L120" s="40"/>
      <c r="M120" s="47"/>
      <c r="N120" s="1"/>
    </row>
    <row r="121" spans="1:14" x14ac:dyDescent="0.25">
      <c r="A121" s="17"/>
      <c r="B121" s="19"/>
      <c r="C121" s="19"/>
      <c r="D121" s="19"/>
      <c r="E121" s="36"/>
      <c r="F121" s="36"/>
      <c r="G121" s="36"/>
      <c r="H121" s="36"/>
      <c r="I121" s="36"/>
      <c r="J121" s="36"/>
      <c r="K121" s="19"/>
      <c r="L121" s="40"/>
      <c r="M121" s="47"/>
      <c r="N121" s="1"/>
    </row>
    <row r="122" spans="1:14" x14ac:dyDescent="0.25">
      <c r="A122" s="17"/>
      <c r="B122" s="19"/>
      <c r="C122" s="19"/>
      <c r="D122" s="19"/>
      <c r="E122" s="36"/>
      <c r="F122" s="36"/>
      <c r="G122" s="36"/>
      <c r="H122" s="36"/>
      <c r="I122" s="36"/>
      <c r="J122" s="36"/>
      <c r="K122" s="19"/>
      <c r="L122" s="40"/>
      <c r="M122" s="47"/>
      <c r="N122" s="1"/>
    </row>
    <row r="123" spans="1:14" ht="13" x14ac:dyDescent="0.25">
      <c r="A123" s="2" t="s">
        <v>291</v>
      </c>
      <c r="B123" s="3"/>
      <c r="C123" s="3"/>
      <c r="D123" s="3"/>
      <c r="E123" s="37">
        <f>SUBTOTAL(109,Table136789[Original Amount-Deposite])</f>
        <v>0</v>
      </c>
      <c r="F123" s="38">
        <f>SUBTOTAL(109,Table136789[Original Amount-Expense])</f>
        <v>0</v>
      </c>
      <c r="G123" s="38"/>
      <c r="H123" s="38"/>
      <c r="I123" s="38"/>
      <c r="J123" s="38"/>
      <c r="K123" s="38"/>
      <c r="L123" s="3"/>
      <c r="M123" s="46"/>
      <c r="N123" s="1"/>
    </row>
    <row r="124" spans="1:14" x14ac:dyDescent="0.25">
      <c r="A124" s="2"/>
      <c r="B124" s="1"/>
      <c r="C124" s="1"/>
      <c r="D124" s="1"/>
      <c r="E124" s="43"/>
      <c r="F124" s="43"/>
      <c r="G124" s="43"/>
      <c r="H124" s="1"/>
      <c r="I124" s="1"/>
      <c r="J124" s="1"/>
    </row>
    <row r="125" spans="1:14" x14ac:dyDescent="0.25">
      <c r="A125" s="2"/>
      <c r="B125" s="1"/>
      <c r="C125" s="1"/>
      <c r="D125" s="1"/>
      <c r="E125" s="43"/>
      <c r="F125" s="43"/>
      <c r="G125" s="43"/>
      <c r="H125" s="1"/>
      <c r="I125" s="1"/>
      <c r="J125" s="1"/>
    </row>
    <row r="126" spans="1:14" x14ac:dyDescent="0.25">
      <c r="A126" s="2"/>
      <c r="B126" s="1"/>
      <c r="C126" s="1"/>
      <c r="D126" s="1"/>
      <c r="E126" s="43"/>
      <c r="F126" s="43"/>
      <c r="G126" s="43"/>
      <c r="H126" s="1"/>
      <c r="I126" s="1"/>
      <c r="J126" s="1"/>
    </row>
    <row r="127" spans="1:14" x14ac:dyDescent="0.25">
      <c r="J127" s="1"/>
    </row>
    <row r="128" spans="1:14" x14ac:dyDescent="0.25">
      <c r="J128" s="1"/>
    </row>
  </sheetData>
  <mergeCells count="1">
    <mergeCell ref="A3:B3"/>
  </mergeCells>
  <phoneticPr fontId="18" type="noConversion"/>
  <conditionalFormatting sqref="F3:G3">
    <cfRule type="cellIs" dxfId="16" priority="1" stopIfTrue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E874-3834-44A6-A2E6-EB4E1153D087}">
  <dimension ref="A1:J79"/>
  <sheetViews>
    <sheetView topLeftCell="A73" workbookViewId="0">
      <selection activeCell="C76" sqref="C76:H76"/>
    </sheetView>
  </sheetViews>
  <sheetFormatPr defaultColWidth="9.1796875" defaultRowHeight="12.5" x14ac:dyDescent="0.25"/>
  <cols>
    <col min="1" max="1" width="9.54296875" style="8" bestFit="1" customWidth="1"/>
    <col min="2" max="2" width="13.453125" style="8" bestFit="1" customWidth="1"/>
    <col min="3" max="3" width="32" style="5" bestFit="1" customWidth="1"/>
    <col min="4" max="4" width="15.81640625" style="9" bestFit="1" customWidth="1"/>
    <col min="5" max="5" width="16.1796875" style="9" bestFit="1" customWidth="1"/>
    <col min="6" max="6" width="18.453125" style="5" bestFit="1" customWidth="1"/>
    <col min="7" max="7" width="16.81640625" style="5" customWidth="1"/>
    <col min="8" max="8" width="13.54296875" style="8" bestFit="1" customWidth="1"/>
    <col min="9" max="9" width="9.1796875" style="5"/>
    <col min="10" max="10" width="17.453125" style="5" bestFit="1" customWidth="1"/>
    <col min="11" max="16384" width="9.1796875" style="5"/>
  </cols>
  <sheetData>
    <row r="1" spans="1:10" ht="20.5" thickBot="1" x14ac:dyDescent="0.3">
      <c r="A1" s="52" t="s">
        <v>0</v>
      </c>
      <c r="B1" s="52"/>
      <c r="C1" s="52"/>
      <c r="D1" s="52"/>
      <c r="E1" s="52"/>
      <c r="F1" s="52"/>
      <c r="G1" s="52"/>
      <c r="H1" s="30" t="s">
        <v>839</v>
      </c>
      <c r="I1" s="1"/>
      <c r="J1" s="6" t="s">
        <v>2</v>
      </c>
    </row>
    <row r="2" spans="1:10" ht="15.5" x14ac:dyDescent="0.25">
      <c r="A2" s="7"/>
      <c r="B2" s="2"/>
      <c r="C2" s="1"/>
      <c r="D2" s="43"/>
      <c r="E2" s="43"/>
      <c r="F2" s="1"/>
      <c r="G2" s="1"/>
      <c r="H2" s="2"/>
      <c r="I2" s="1"/>
      <c r="J2" s="6" t="s">
        <v>3</v>
      </c>
    </row>
    <row r="3" spans="1:10" ht="13.5" x14ac:dyDescent="0.25">
      <c r="A3" s="53" t="str">
        <f>"For "&amp;TEXT(MIN(A6:A78),"dd/mm/yyyy")&amp;" through "&amp;TEXT(MAX(A6:A78),"dd/mm/yyyy")</f>
        <v>For 01/04/2021 through 25/03/2022</v>
      </c>
      <c r="B3" s="54"/>
      <c r="C3" s="54"/>
      <c r="D3" s="10" t="s">
        <v>4</v>
      </c>
      <c r="E3" s="29">
        <f>D79-E79</f>
        <v>1009</v>
      </c>
      <c r="F3" s="50"/>
      <c r="G3" s="51"/>
      <c r="H3" s="11"/>
      <c r="I3" s="1"/>
      <c r="J3" s="6" t="s">
        <v>5</v>
      </c>
    </row>
    <row r="4" spans="1:10" ht="13.5" x14ac:dyDescent="0.25">
      <c r="A4" s="12"/>
      <c r="B4" s="13"/>
      <c r="C4" s="1"/>
      <c r="D4" s="43"/>
      <c r="E4" s="43"/>
      <c r="F4" s="1"/>
      <c r="G4" s="1"/>
      <c r="H4" s="2"/>
      <c r="I4" s="1"/>
      <c r="J4" s="6" t="s">
        <v>6</v>
      </c>
    </row>
    <row r="5" spans="1:10" ht="13.5" x14ac:dyDescent="0.25">
      <c r="A5" s="14" t="s">
        <v>7</v>
      </c>
      <c r="B5" s="14" t="s">
        <v>8</v>
      </c>
      <c r="C5" s="15" t="s">
        <v>9</v>
      </c>
      <c r="D5" s="16" t="s">
        <v>10</v>
      </c>
      <c r="E5" s="16" t="s">
        <v>11</v>
      </c>
      <c r="F5" s="15" t="s">
        <v>12</v>
      </c>
      <c r="G5" s="15" t="s">
        <v>13</v>
      </c>
      <c r="H5" s="14" t="s">
        <v>14</v>
      </c>
      <c r="I5" s="1"/>
      <c r="J5" s="6" t="s">
        <v>15</v>
      </c>
    </row>
    <row r="6" spans="1:10" s="21" customFormat="1" x14ac:dyDescent="0.25">
      <c r="A6" s="17">
        <v>44287</v>
      </c>
      <c r="B6" s="18"/>
      <c r="C6" s="19" t="s">
        <v>17</v>
      </c>
      <c r="D6" s="26">
        <v>665</v>
      </c>
      <c r="E6" s="20"/>
      <c r="F6" s="21" t="s">
        <v>18</v>
      </c>
      <c r="G6" s="19" t="s">
        <v>19</v>
      </c>
      <c r="H6" s="22"/>
      <c r="J6" s="23" t="s">
        <v>21</v>
      </c>
    </row>
    <row r="7" spans="1:10" s="21" customFormat="1" x14ac:dyDescent="0.25">
      <c r="A7" s="17">
        <v>44294</v>
      </c>
      <c r="B7" s="18" t="s">
        <v>840</v>
      </c>
      <c r="C7" s="19" t="s">
        <v>295</v>
      </c>
      <c r="D7" s="24"/>
      <c r="E7" s="20">
        <v>840</v>
      </c>
      <c r="G7" s="19" t="s">
        <v>56</v>
      </c>
      <c r="H7" s="22" t="s">
        <v>19</v>
      </c>
      <c r="J7" s="23"/>
    </row>
    <row r="8" spans="1:10" s="21" customFormat="1" x14ac:dyDescent="0.25">
      <c r="A8" s="17">
        <v>44296</v>
      </c>
      <c r="B8" s="18" t="s">
        <v>841</v>
      </c>
      <c r="C8" s="19" t="s">
        <v>842</v>
      </c>
      <c r="D8" s="24"/>
      <c r="E8" s="20">
        <f>41*8</f>
        <v>328</v>
      </c>
      <c r="G8" s="19" t="s">
        <v>843</v>
      </c>
      <c r="H8" s="22" t="s">
        <v>19</v>
      </c>
      <c r="J8" s="23"/>
    </row>
    <row r="9" spans="1:10" s="21" customFormat="1" ht="23" x14ac:dyDescent="0.35">
      <c r="A9" s="17">
        <v>44349</v>
      </c>
      <c r="B9" s="18" t="s">
        <v>844</v>
      </c>
      <c r="C9" s="19" t="s">
        <v>845</v>
      </c>
      <c r="D9" s="24"/>
      <c r="E9" s="20">
        <v>1900</v>
      </c>
      <c r="G9" s="19" t="s">
        <v>579</v>
      </c>
      <c r="H9" s="22" t="s">
        <v>19</v>
      </c>
      <c r="J9" s="25" t="s">
        <v>18</v>
      </c>
    </row>
    <row r="10" spans="1:10" s="21" customFormat="1" ht="11.5" x14ac:dyDescent="0.25">
      <c r="A10" s="17">
        <v>44350</v>
      </c>
      <c r="B10" s="18" t="s">
        <v>846</v>
      </c>
      <c r="C10" s="19" t="s">
        <v>847</v>
      </c>
      <c r="D10" s="24"/>
      <c r="E10" s="20">
        <v>70</v>
      </c>
      <c r="G10" s="19" t="s">
        <v>579</v>
      </c>
      <c r="H10" s="22" t="s">
        <v>19</v>
      </c>
    </row>
    <row r="11" spans="1:10" s="21" customFormat="1" ht="11.5" x14ac:dyDescent="0.25">
      <c r="A11" s="17">
        <v>44355</v>
      </c>
      <c r="B11" s="18" t="s">
        <v>848</v>
      </c>
      <c r="C11" s="19" t="s">
        <v>849</v>
      </c>
      <c r="D11" s="24"/>
      <c r="E11" s="20">
        <v>1320</v>
      </c>
      <c r="G11" s="19" t="s">
        <v>579</v>
      </c>
      <c r="H11" s="22" t="s">
        <v>19</v>
      </c>
    </row>
    <row r="12" spans="1:10" s="21" customFormat="1" ht="11.5" x14ac:dyDescent="0.25">
      <c r="A12" s="17">
        <v>44370</v>
      </c>
      <c r="B12" s="18" t="s">
        <v>850</v>
      </c>
      <c r="C12" s="19" t="s">
        <v>851</v>
      </c>
      <c r="D12" s="24"/>
      <c r="E12" s="20">
        <v>80</v>
      </c>
      <c r="G12" s="19" t="s">
        <v>579</v>
      </c>
      <c r="H12" s="22" t="s">
        <v>19</v>
      </c>
    </row>
    <row r="13" spans="1:10" s="21" customFormat="1" ht="11.5" x14ac:dyDescent="0.25">
      <c r="A13" s="17">
        <v>44393</v>
      </c>
      <c r="B13" s="18"/>
      <c r="C13" s="19" t="s">
        <v>42</v>
      </c>
      <c r="D13" s="24">
        <v>5000</v>
      </c>
      <c r="E13" s="20"/>
      <c r="F13" s="21" t="s">
        <v>18</v>
      </c>
      <c r="G13" s="19" t="s">
        <v>19</v>
      </c>
      <c r="H13" s="22" t="s">
        <v>19</v>
      </c>
    </row>
    <row r="14" spans="1:10" s="21" customFormat="1" ht="11.5" x14ac:dyDescent="0.25">
      <c r="A14" s="17">
        <v>44399</v>
      </c>
      <c r="B14" s="18" t="s">
        <v>852</v>
      </c>
      <c r="C14" s="19" t="s">
        <v>295</v>
      </c>
      <c r="D14" s="24"/>
      <c r="E14" s="20">
        <v>2430</v>
      </c>
      <c r="G14" s="19" t="s">
        <v>56</v>
      </c>
      <c r="H14" s="22" t="s">
        <v>19</v>
      </c>
    </row>
    <row r="15" spans="1:10" s="21" customFormat="1" ht="11.5" x14ac:dyDescent="0.25">
      <c r="A15" s="17">
        <v>44406</v>
      </c>
      <c r="B15" s="18" t="s">
        <v>853</v>
      </c>
      <c r="C15" s="19" t="s">
        <v>854</v>
      </c>
      <c r="D15" s="24"/>
      <c r="E15" s="20">
        <v>80</v>
      </c>
      <c r="G15" s="19" t="s">
        <v>579</v>
      </c>
      <c r="H15" s="22" t="s">
        <v>19</v>
      </c>
    </row>
    <row r="16" spans="1:10" s="21" customFormat="1" ht="11.5" x14ac:dyDescent="0.25">
      <c r="A16" s="17">
        <v>44406</v>
      </c>
      <c r="B16" s="18" t="s">
        <v>855</v>
      </c>
      <c r="C16" s="19" t="s">
        <v>856</v>
      </c>
      <c r="D16" s="24"/>
      <c r="E16" s="20">
        <v>80</v>
      </c>
      <c r="G16" s="19" t="s">
        <v>579</v>
      </c>
      <c r="H16" s="22" t="s">
        <v>19</v>
      </c>
    </row>
    <row r="17" spans="1:8" s="21" customFormat="1" ht="11.5" x14ac:dyDescent="0.25">
      <c r="A17" s="17">
        <v>44411</v>
      </c>
      <c r="B17" s="18" t="s">
        <v>857</v>
      </c>
      <c r="C17" s="19" t="s">
        <v>858</v>
      </c>
      <c r="D17" s="24"/>
      <c r="E17" s="20">
        <v>2060</v>
      </c>
      <c r="G17" s="19" t="s">
        <v>579</v>
      </c>
      <c r="H17" s="22" t="s">
        <v>19</v>
      </c>
    </row>
    <row r="18" spans="1:8" s="21" customFormat="1" ht="11.5" x14ac:dyDescent="0.25">
      <c r="A18" s="17">
        <v>44412</v>
      </c>
      <c r="B18" s="18"/>
      <c r="C18" s="19" t="s">
        <v>42</v>
      </c>
      <c r="D18" s="24">
        <v>5000</v>
      </c>
      <c r="E18" s="20"/>
      <c r="F18" s="21" t="s">
        <v>18</v>
      </c>
      <c r="G18" s="19" t="s">
        <v>19</v>
      </c>
      <c r="H18" s="22" t="s">
        <v>19</v>
      </c>
    </row>
    <row r="19" spans="1:8" s="21" customFormat="1" ht="11.5" x14ac:dyDescent="0.25">
      <c r="A19" s="17">
        <v>44419</v>
      </c>
      <c r="B19" s="18" t="s">
        <v>859</v>
      </c>
      <c r="C19" s="19" t="s">
        <v>860</v>
      </c>
      <c r="D19" s="24"/>
      <c r="E19" s="20">
        <v>100</v>
      </c>
      <c r="G19" s="19" t="s">
        <v>861</v>
      </c>
      <c r="H19" s="22" t="s">
        <v>19</v>
      </c>
    </row>
    <row r="20" spans="1:8" s="21" customFormat="1" ht="11.5" x14ac:dyDescent="0.25">
      <c r="A20" s="17">
        <v>44419</v>
      </c>
      <c r="B20" s="18" t="s">
        <v>862</v>
      </c>
      <c r="C20" s="19" t="s">
        <v>863</v>
      </c>
      <c r="D20" s="24"/>
      <c r="E20" s="20">
        <v>40</v>
      </c>
      <c r="G20" s="19" t="s">
        <v>864</v>
      </c>
      <c r="H20" s="22" t="s">
        <v>19</v>
      </c>
    </row>
    <row r="21" spans="1:8" s="21" customFormat="1" ht="11.5" x14ac:dyDescent="0.25">
      <c r="A21" s="17">
        <v>44433</v>
      </c>
      <c r="B21" s="18" t="s">
        <v>865</v>
      </c>
      <c r="C21" s="19" t="s">
        <v>64</v>
      </c>
      <c r="D21" s="24"/>
      <c r="E21" s="20">
        <v>120</v>
      </c>
      <c r="G21" s="19" t="s">
        <v>363</v>
      </c>
      <c r="H21" s="22" t="s">
        <v>19</v>
      </c>
    </row>
    <row r="22" spans="1:8" s="21" customFormat="1" ht="11.5" x14ac:dyDescent="0.25">
      <c r="A22" s="17">
        <v>44466</v>
      </c>
      <c r="B22" s="18" t="s">
        <v>866</v>
      </c>
      <c r="C22" s="19" t="s">
        <v>867</v>
      </c>
      <c r="D22" s="24"/>
      <c r="E22" s="20">
        <v>649</v>
      </c>
      <c r="G22" s="19" t="s">
        <v>868</v>
      </c>
      <c r="H22" s="22" t="s">
        <v>19</v>
      </c>
    </row>
    <row r="23" spans="1:8" s="21" customFormat="1" ht="11.5" x14ac:dyDescent="0.25">
      <c r="A23" s="17">
        <v>44469</v>
      </c>
      <c r="B23" s="18" t="s">
        <v>869</v>
      </c>
      <c r="C23" s="19" t="s">
        <v>870</v>
      </c>
      <c r="D23" s="24"/>
      <c r="E23" s="20">
        <v>850</v>
      </c>
      <c r="G23" s="19" t="s">
        <v>579</v>
      </c>
      <c r="H23" s="22" t="s">
        <v>19</v>
      </c>
    </row>
    <row r="24" spans="1:8" s="21" customFormat="1" ht="11.5" x14ac:dyDescent="0.25">
      <c r="A24" s="17">
        <v>44473</v>
      </c>
      <c r="B24" s="18"/>
      <c r="C24" s="19" t="s">
        <v>42</v>
      </c>
      <c r="D24" s="24">
        <v>3000</v>
      </c>
      <c r="E24" s="20"/>
      <c r="F24" s="21" t="s">
        <v>18</v>
      </c>
      <c r="G24" s="19" t="s">
        <v>19</v>
      </c>
      <c r="H24" s="22" t="s">
        <v>19</v>
      </c>
    </row>
    <row r="25" spans="1:8" s="21" customFormat="1" ht="11.5" x14ac:dyDescent="0.25">
      <c r="A25" s="17">
        <v>44473</v>
      </c>
      <c r="B25" s="18" t="s">
        <v>871</v>
      </c>
      <c r="C25" s="19" t="s">
        <v>872</v>
      </c>
      <c r="D25" s="24"/>
      <c r="E25" s="20">
        <v>580</v>
      </c>
      <c r="G25" s="19" t="s">
        <v>843</v>
      </c>
      <c r="H25" s="22" t="s">
        <v>19</v>
      </c>
    </row>
    <row r="26" spans="1:8" s="21" customFormat="1" ht="11.5" x14ac:dyDescent="0.25">
      <c r="A26" s="17">
        <v>44473</v>
      </c>
      <c r="B26" s="18" t="s">
        <v>873</v>
      </c>
      <c r="C26" s="19" t="s">
        <v>609</v>
      </c>
      <c r="D26" s="24"/>
      <c r="E26" s="20">
        <v>603</v>
      </c>
      <c r="G26" s="19" t="s">
        <v>874</v>
      </c>
      <c r="H26" s="22" t="s">
        <v>19</v>
      </c>
    </row>
    <row r="27" spans="1:8" s="21" customFormat="1" ht="11.5" x14ac:dyDescent="0.25">
      <c r="A27" s="17">
        <v>44476</v>
      </c>
      <c r="B27" s="18" t="s">
        <v>875</v>
      </c>
      <c r="C27" s="19" t="s">
        <v>876</v>
      </c>
      <c r="D27" s="24"/>
      <c r="E27" s="20">
        <v>1900</v>
      </c>
      <c r="G27" s="19" t="s">
        <v>579</v>
      </c>
      <c r="H27" s="22" t="s">
        <v>19</v>
      </c>
    </row>
    <row r="28" spans="1:8" s="21" customFormat="1" ht="11.5" x14ac:dyDescent="0.25">
      <c r="A28" s="17">
        <v>44476</v>
      </c>
      <c r="B28" s="18" t="s">
        <v>877</v>
      </c>
      <c r="C28" s="19" t="s">
        <v>295</v>
      </c>
      <c r="D28" s="24"/>
      <c r="E28" s="20">
        <v>720</v>
      </c>
      <c r="G28" s="19" t="s">
        <v>56</v>
      </c>
      <c r="H28" s="22" t="s">
        <v>19</v>
      </c>
    </row>
    <row r="29" spans="1:8" s="21" customFormat="1" ht="11.5" x14ac:dyDescent="0.25">
      <c r="A29" s="17">
        <v>44476</v>
      </c>
      <c r="B29" s="18" t="s">
        <v>878</v>
      </c>
      <c r="C29" s="19" t="s">
        <v>879</v>
      </c>
      <c r="D29" s="24"/>
      <c r="E29" s="20">
        <v>1900</v>
      </c>
      <c r="G29" s="19" t="s">
        <v>579</v>
      </c>
      <c r="H29" s="22" t="s">
        <v>19</v>
      </c>
    </row>
    <row r="30" spans="1:8" s="21" customFormat="1" ht="11.5" x14ac:dyDescent="0.25">
      <c r="A30" s="17">
        <v>44477</v>
      </c>
      <c r="B30" s="18"/>
      <c r="C30" s="19" t="s">
        <v>42</v>
      </c>
      <c r="D30" s="24">
        <v>3000</v>
      </c>
      <c r="E30" s="20"/>
      <c r="F30" s="21" t="s">
        <v>18</v>
      </c>
      <c r="G30" s="19" t="s">
        <v>19</v>
      </c>
      <c r="H30" s="22" t="s">
        <v>19</v>
      </c>
    </row>
    <row r="31" spans="1:8" s="21" customFormat="1" ht="11.5" x14ac:dyDescent="0.25">
      <c r="A31" s="17">
        <v>44478</v>
      </c>
      <c r="B31" s="18" t="s">
        <v>880</v>
      </c>
      <c r="C31" s="19" t="s">
        <v>881</v>
      </c>
      <c r="D31" s="24"/>
      <c r="E31" s="20">
        <v>370</v>
      </c>
      <c r="G31" s="19" t="s">
        <v>576</v>
      </c>
      <c r="H31" s="22" t="s">
        <v>19</v>
      </c>
    </row>
    <row r="32" spans="1:8" s="21" customFormat="1" ht="11.5" x14ac:dyDescent="0.25">
      <c r="A32" s="17">
        <v>44487</v>
      </c>
      <c r="B32" s="18" t="s">
        <v>882</v>
      </c>
      <c r="C32" s="19" t="s">
        <v>883</v>
      </c>
      <c r="D32" s="24"/>
      <c r="E32" s="20">
        <v>60</v>
      </c>
      <c r="G32" s="19" t="s">
        <v>579</v>
      </c>
      <c r="H32" s="22" t="s">
        <v>19</v>
      </c>
    </row>
    <row r="33" spans="1:8" s="21" customFormat="1" ht="11.5" x14ac:dyDescent="0.25">
      <c r="A33" s="17">
        <v>44494</v>
      </c>
      <c r="B33" s="18" t="s">
        <v>884</v>
      </c>
      <c r="C33" s="19" t="s">
        <v>885</v>
      </c>
      <c r="D33" s="24"/>
      <c r="E33" s="20">
        <v>1900</v>
      </c>
      <c r="G33" s="19" t="s">
        <v>579</v>
      </c>
      <c r="H33" s="22" t="s">
        <v>19</v>
      </c>
    </row>
    <row r="34" spans="1:8" s="21" customFormat="1" ht="11.5" x14ac:dyDescent="0.25">
      <c r="A34" s="17">
        <v>44494</v>
      </c>
      <c r="B34" s="18" t="s">
        <v>886</v>
      </c>
      <c r="C34" s="19" t="s">
        <v>887</v>
      </c>
      <c r="D34" s="24"/>
      <c r="E34" s="20">
        <v>1900</v>
      </c>
      <c r="G34" s="19" t="s">
        <v>579</v>
      </c>
      <c r="H34" s="22" t="s">
        <v>19</v>
      </c>
    </row>
    <row r="35" spans="1:8" s="21" customFormat="1" ht="11.5" x14ac:dyDescent="0.25">
      <c r="A35" s="17">
        <v>44489</v>
      </c>
      <c r="B35" s="18" t="s">
        <v>888</v>
      </c>
      <c r="C35" s="19" t="s">
        <v>64</v>
      </c>
      <c r="D35" s="24"/>
      <c r="E35" s="20">
        <v>120</v>
      </c>
      <c r="G35" s="19" t="s">
        <v>363</v>
      </c>
      <c r="H35" s="22" t="s">
        <v>19</v>
      </c>
    </row>
    <row r="36" spans="1:8" s="21" customFormat="1" ht="11.5" x14ac:dyDescent="0.25">
      <c r="A36" s="17">
        <v>44491</v>
      </c>
      <c r="B36" s="18" t="s">
        <v>889</v>
      </c>
      <c r="C36" s="19" t="s">
        <v>890</v>
      </c>
      <c r="D36" s="24"/>
      <c r="E36" s="20">
        <v>59</v>
      </c>
      <c r="G36" s="19" t="s">
        <v>843</v>
      </c>
      <c r="H36" s="22" t="s">
        <v>19</v>
      </c>
    </row>
    <row r="37" spans="1:8" s="21" customFormat="1" ht="11.5" x14ac:dyDescent="0.25">
      <c r="A37" s="17">
        <v>44495</v>
      </c>
      <c r="B37" s="18" t="s">
        <v>891</v>
      </c>
      <c r="C37" s="19" t="s">
        <v>892</v>
      </c>
      <c r="D37" s="24"/>
      <c r="E37" s="20">
        <v>500</v>
      </c>
      <c r="G37" s="19" t="s">
        <v>893</v>
      </c>
      <c r="H37" s="22" t="s">
        <v>19</v>
      </c>
    </row>
    <row r="38" spans="1:8" s="21" customFormat="1" ht="11.5" x14ac:dyDescent="0.25">
      <c r="A38" s="17">
        <v>44496</v>
      </c>
      <c r="B38" s="18"/>
      <c r="C38" s="19" t="s">
        <v>42</v>
      </c>
      <c r="D38" s="24">
        <v>6000</v>
      </c>
      <c r="E38" s="20"/>
      <c r="F38" s="21" t="s">
        <v>18</v>
      </c>
      <c r="G38" s="19" t="s">
        <v>19</v>
      </c>
      <c r="H38" s="22" t="s">
        <v>19</v>
      </c>
    </row>
    <row r="39" spans="1:8" s="21" customFormat="1" ht="11.5" x14ac:dyDescent="0.25">
      <c r="A39" s="17">
        <v>44499</v>
      </c>
      <c r="B39" s="18" t="s">
        <v>894</v>
      </c>
      <c r="C39" s="19" t="s">
        <v>895</v>
      </c>
      <c r="D39" s="24"/>
      <c r="E39" s="20">
        <v>1599</v>
      </c>
      <c r="G39" s="19" t="s">
        <v>19</v>
      </c>
      <c r="H39" s="22" t="s">
        <v>19</v>
      </c>
    </row>
    <row r="40" spans="1:8" s="21" customFormat="1" ht="11.5" x14ac:dyDescent="0.25">
      <c r="A40" s="17">
        <v>44504</v>
      </c>
      <c r="B40" s="18" t="s">
        <v>896</v>
      </c>
      <c r="C40" s="19" t="s">
        <v>609</v>
      </c>
      <c r="D40" s="24"/>
      <c r="E40" s="20">
        <v>594</v>
      </c>
      <c r="G40" s="19" t="s">
        <v>868</v>
      </c>
      <c r="H40" s="22" t="s">
        <v>19</v>
      </c>
    </row>
    <row r="41" spans="1:8" s="21" customFormat="1" ht="11.5" x14ac:dyDescent="0.25">
      <c r="A41" s="17">
        <v>44511</v>
      </c>
      <c r="B41" s="18" t="s">
        <v>897</v>
      </c>
      <c r="C41" s="19" t="s">
        <v>898</v>
      </c>
      <c r="D41" s="24"/>
      <c r="E41" s="20">
        <v>980</v>
      </c>
      <c r="G41" s="19" t="s">
        <v>579</v>
      </c>
      <c r="H41" s="22" t="s">
        <v>19</v>
      </c>
    </row>
    <row r="42" spans="1:8" s="21" customFormat="1" ht="11.5" x14ac:dyDescent="0.25">
      <c r="A42" s="17">
        <v>44511</v>
      </c>
      <c r="B42" s="18"/>
      <c r="C42" s="19" t="s">
        <v>42</v>
      </c>
      <c r="D42" s="24">
        <v>5000</v>
      </c>
      <c r="E42" s="20"/>
      <c r="F42" s="21" t="s">
        <v>18</v>
      </c>
      <c r="G42" s="19" t="s">
        <v>19</v>
      </c>
      <c r="H42" s="22" t="s">
        <v>19</v>
      </c>
    </row>
    <row r="43" spans="1:8" x14ac:dyDescent="0.25">
      <c r="A43" s="17">
        <v>44516</v>
      </c>
      <c r="B43" s="18" t="s">
        <v>899</v>
      </c>
      <c r="C43" s="1" t="s">
        <v>295</v>
      </c>
      <c r="D43" s="43"/>
      <c r="E43" s="20">
        <v>360</v>
      </c>
      <c r="F43" s="1"/>
      <c r="G43" s="1" t="s">
        <v>56</v>
      </c>
      <c r="H43" s="2" t="s">
        <v>19</v>
      </c>
    </row>
    <row r="44" spans="1:8" s="21" customFormat="1" ht="11.5" x14ac:dyDescent="0.25">
      <c r="A44" s="17">
        <v>44517</v>
      </c>
      <c r="B44" s="18" t="s">
        <v>900</v>
      </c>
      <c r="C44" s="19" t="s">
        <v>872</v>
      </c>
      <c r="D44" s="24"/>
      <c r="E44" s="20">
        <v>366</v>
      </c>
      <c r="G44" s="19" t="s">
        <v>843</v>
      </c>
      <c r="H44" s="22" t="s">
        <v>19</v>
      </c>
    </row>
    <row r="45" spans="1:8" s="21" customFormat="1" ht="11.5" x14ac:dyDescent="0.25">
      <c r="A45" s="17">
        <v>44518</v>
      </c>
      <c r="B45" s="18" t="s">
        <v>901</v>
      </c>
      <c r="C45" s="19" t="s">
        <v>64</v>
      </c>
      <c r="D45" s="24"/>
      <c r="E45" s="20">
        <v>120</v>
      </c>
      <c r="G45" s="19" t="s">
        <v>363</v>
      </c>
      <c r="H45" s="22" t="s">
        <v>19</v>
      </c>
    </row>
    <row r="46" spans="1:8" s="21" customFormat="1" ht="11.5" x14ac:dyDescent="0.25">
      <c r="A46" s="17">
        <v>44521</v>
      </c>
      <c r="B46" s="18" t="s">
        <v>902</v>
      </c>
      <c r="C46" s="19" t="s">
        <v>609</v>
      </c>
      <c r="D46" s="24"/>
      <c r="E46" s="20">
        <v>370</v>
      </c>
      <c r="G46" s="19" t="s">
        <v>868</v>
      </c>
      <c r="H46" s="22" t="s">
        <v>19</v>
      </c>
    </row>
    <row r="47" spans="1:8" s="21" customFormat="1" ht="11.5" x14ac:dyDescent="0.25">
      <c r="A47" s="17">
        <v>44526</v>
      </c>
      <c r="B47" s="18"/>
      <c r="C47" s="19" t="s">
        <v>42</v>
      </c>
      <c r="D47" s="24">
        <v>500</v>
      </c>
      <c r="E47" s="20"/>
      <c r="F47" s="21" t="s">
        <v>18</v>
      </c>
      <c r="G47" s="19" t="s">
        <v>19</v>
      </c>
      <c r="H47" s="22" t="s">
        <v>19</v>
      </c>
    </row>
    <row r="48" spans="1:8" s="21" customFormat="1" ht="23" x14ac:dyDescent="0.25">
      <c r="A48" s="17">
        <v>44531</v>
      </c>
      <c r="B48" s="18" t="s">
        <v>903</v>
      </c>
      <c r="C48" s="19" t="s">
        <v>904</v>
      </c>
      <c r="D48" s="24"/>
      <c r="E48" s="20">
        <v>1320</v>
      </c>
      <c r="G48" s="19" t="s">
        <v>579</v>
      </c>
      <c r="H48" s="22" t="s">
        <v>19</v>
      </c>
    </row>
    <row r="49" spans="1:8" s="21" customFormat="1" ht="23" x14ac:dyDescent="0.25">
      <c r="A49" s="17">
        <v>44533</v>
      </c>
      <c r="B49" s="18" t="s">
        <v>905</v>
      </c>
      <c r="C49" s="19" t="s">
        <v>906</v>
      </c>
      <c r="D49" s="24"/>
      <c r="E49" s="20">
        <v>224</v>
      </c>
      <c r="G49" s="19" t="s">
        <v>843</v>
      </c>
      <c r="H49" s="22" t="s">
        <v>19</v>
      </c>
    </row>
    <row r="50" spans="1:8" s="21" customFormat="1" ht="11.5" x14ac:dyDescent="0.25">
      <c r="A50" s="17">
        <v>44533</v>
      </c>
      <c r="B50" s="18" t="s">
        <v>907</v>
      </c>
      <c r="C50" s="19" t="s">
        <v>295</v>
      </c>
      <c r="D50" s="24"/>
      <c r="E50" s="20">
        <v>360</v>
      </c>
      <c r="G50" s="19" t="s">
        <v>56</v>
      </c>
      <c r="H50" s="22" t="s">
        <v>19</v>
      </c>
    </row>
    <row r="51" spans="1:8" s="21" customFormat="1" ht="11.5" x14ac:dyDescent="0.25">
      <c r="A51" s="17">
        <v>44534</v>
      </c>
      <c r="B51" s="18" t="s">
        <v>908</v>
      </c>
      <c r="C51" s="19" t="s">
        <v>872</v>
      </c>
      <c r="D51" s="24"/>
      <c r="E51" s="20">
        <v>82</v>
      </c>
      <c r="G51" s="19" t="s">
        <v>843</v>
      </c>
      <c r="H51" s="22" t="s">
        <v>19</v>
      </c>
    </row>
    <row r="52" spans="1:8" s="21" customFormat="1" ht="11.5" x14ac:dyDescent="0.25">
      <c r="A52" s="17">
        <v>44534</v>
      </c>
      <c r="B52" s="18" t="s">
        <v>909</v>
      </c>
      <c r="C52" s="19" t="s">
        <v>910</v>
      </c>
      <c r="D52" s="24"/>
      <c r="E52" s="20">
        <v>5700</v>
      </c>
      <c r="G52" s="19" t="s">
        <v>579</v>
      </c>
      <c r="H52" s="22" t="s">
        <v>19</v>
      </c>
    </row>
    <row r="53" spans="1:8" s="21" customFormat="1" ht="11.5" x14ac:dyDescent="0.25">
      <c r="A53" s="17">
        <v>44540</v>
      </c>
      <c r="B53" s="18" t="s">
        <v>911</v>
      </c>
      <c r="C53" s="19" t="s">
        <v>912</v>
      </c>
      <c r="D53" s="24"/>
      <c r="E53" s="20">
        <v>59</v>
      </c>
      <c r="G53" s="19" t="s">
        <v>843</v>
      </c>
      <c r="H53" s="22" t="s">
        <v>19</v>
      </c>
    </row>
    <row r="54" spans="1:8" x14ac:dyDescent="0.25">
      <c r="A54" s="17">
        <v>44543</v>
      </c>
      <c r="B54" s="18" t="s">
        <v>913</v>
      </c>
      <c r="C54" s="19" t="s">
        <v>64</v>
      </c>
      <c r="D54" s="24"/>
      <c r="E54" s="20">
        <v>120</v>
      </c>
      <c r="F54" s="21"/>
      <c r="G54" s="19" t="s">
        <v>363</v>
      </c>
      <c r="H54" s="22" t="s">
        <v>19</v>
      </c>
    </row>
    <row r="55" spans="1:8" x14ac:dyDescent="0.25">
      <c r="A55" s="17">
        <v>44552</v>
      </c>
      <c r="B55" s="18" t="s">
        <v>914</v>
      </c>
      <c r="C55" s="19" t="s">
        <v>892</v>
      </c>
      <c r="D55" s="24"/>
      <c r="E55" s="20">
        <v>500</v>
      </c>
      <c r="F55" s="21"/>
      <c r="G55" s="19" t="s">
        <v>893</v>
      </c>
      <c r="H55" s="22" t="s">
        <v>19</v>
      </c>
    </row>
    <row r="56" spans="1:8" x14ac:dyDescent="0.25">
      <c r="A56" s="17">
        <v>44552</v>
      </c>
      <c r="B56" s="18" t="s">
        <v>915</v>
      </c>
      <c r="C56" s="19" t="s">
        <v>609</v>
      </c>
      <c r="D56" s="24"/>
      <c r="E56" s="20">
        <v>489</v>
      </c>
      <c r="F56" s="21"/>
      <c r="G56" s="19" t="s">
        <v>916</v>
      </c>
      <c r="H56" s="22" t="s">
        <v>19</v>
      </c>
    </row>
    <row r="57" spans="1:8" x14ac:dyDescent="0.25">
      <c r="A57" s="17">
        <v>44552</v>
      </c>
      <c r="B57" s="18" t="s">
        <v>917</v>
      </c>
      <c r="C57" s="19" t="s">
        <v>918</v>
      </c>
      <c r="D57" s="24"/>
      <c r="E57" s="20">
        <v>112</v>
      </c>
      <c r="F57" s="21"/>
      <c r="G57" s="19" t="s">
        <v>843</v>
      </c>
      <c r="H57" s="22" t="s">
        <v>19</v>
      </c>
    </row>
    <row r="58" spans="1:8" x14ac:dyDescent="0.25">
      <c r="A58" s="17">
        <v>44552</v>
      </c>
      <c r="B58" s="18" t="s">
        <v>919</v>
      </c>
      <c r="C58" s="19" t="s">
        <v>920</v>
      </c>
      <c r="D58" s="24"/>
      <c r="E58" s="20">
        <v>1500</v>
      </c>
      <c r="F58" s="21"/>
      <c r="G58" s="19" t="s">
        <v>921</v>
      </c>
      <c r="H58" s="22" t="s">
        <v>19</v>
      </c>
    </row>
    <row r="59" spans="1:8" x14ac:dyDescent="0.25">
      <c r="A59" s="17">
        <v>44552</v>
      </c>
      <c r="B59" s="18" t="s">
        <v>922</v>
      </c>
      <c r="C59" s="19" t="s">
        <v>923</v>
      </c>
      <c r="D59" s="24"/>
      <c r="E59" s="20">
        <v>900</v>
      </c>
      <c r="F59" s="21"/>
      <c r="G59" s="19" t="s">
        <v>924</v>
      </c>
      <c r="H59" s="22" t="s">
        <v>19</v>
      </c>
    </row>
    <row r="60" spans="1:8" x14ac:dyDescent="0.25">
      <c r="A60" s="17">
        <v>44560</v>
      </c>
      <c r="B60" s="18" t="s">
        <v>925</v>
      </c>
      <c r="C60" s="19" t="s">
        <v>926</v>
      </c>
      <c r="D60" s="24"/>
      <c r="E60" s="20">
        <v>1800</v>
      </c>
      <c r="F60" s="21"/>
      <c r="G60" s="19" t="s">
        <v>927</v>
      </c>
      <c r="H60" s="22" t="s">
        <v>19</v>
      </c>
    </row>
    <row r="61" spans="1:8" x14ac:dyDescent="0.25">
      <c r="A61" s="17">
        <v>44564</v>
      </c>
      <c r="B61" s="18" t="s">
        <v>928</v>
      </c>
      <c r="C61" s="19" t="s">
        <v>929</v>
      </c>
      <c r="D61" s="24"/>
      <c r="E61" s="20">
        <v>750</v>
      </c>
      <c r="F61" s="21"/>
      <c r="G61" s="19" t="s">
        <v>924</v>
      </c>
      <c r="H61" s="22" t="s">
        <v>19</v>
      </c>
    </row>
    <row r="62" spans="1:8" x14ac:dyDescent="0.25">
      <c r="A62" s="17">
        <v>44565</v>
      </c>
      <c r="B62" s="18" t="s">
        <v>930</v>
      </c>
      <c r="C62" s="19" t="s">
        <v>609</v>
      </c>
      <c r="D62" s="24"/>
      <c r="E62" s="20">
        <v>658</v>
      </c>
      <c r="F62" s="21"/>
      <c r="G62" s="19" t="s">
        <v>868</v>
      </c>
      <c r="H62" s="22" t="s">
        <v>19</v>
      </c>
    </row>
    <row r="63" spans="1:8" x14ac:dyDescent="0.25">
      <c r="A63" s="17">
        <v>44566</v>
      </c>
      <c r="B63" s="18" t="s">
        <v>931</v>
      </c>
      <c r="C63" s="19" t="s">
        <v>932</v>
      </c>
      <c r="D63" s="24"/>
      <c r="E63" s="20">
        <v>21</v>
      </c>
      <c r="F63" s="21"/>
      <c r="G63" s="19" t="s">
        <v>843</v>
      </c>
      <c r="H63" s="22" t="s">
        <v>19</v>
      </c>
    </row>
    <row r="64" spans="1:8" x14ac:dyDescent="0.25">
      <c r="A64" s="17">
        <v>44566</v>
      </c>
      <c r="B64" s="18"/>
      <c r="C64" s="19" t="s">
        <v>42</v>
      </c>
      <c r="D64" s="24">
        <v>15000</v>
      </c>
      <c r="E64" s="20"/>
      <c r="F64" s="21" t="s">
        <v>18</v>
      </c>
      <c r="G64" s="19" t="s">
        <v>19</v>
      </c>
      <c r="H64" s="22" t="s">
        <v>19</v>
      </c>
    </row>
    <row r="65" spans="1:10" x14ac:dyDescent="0.25">
      <c r="A65" s="17">
        <v>44571</v>
      </c>
      <c r="B65" s="18" t="s">
        <v>933</v>
      </c>
      <c r="C65" s="19" t="s">
        <v>64</v>
      </c>
      <c r="D65" s="24"/>
      <c r="E65" s="20">
        <v>120</v>
      </c>
      <c r="F65" s="21"/>
      <c r="G65" s="19" t="s">
        <v>363</v>
      </c>
      <c r="H65" s="22" t="s">
        <v>19</v>
      </c>
      <c r="I65" s="1"/>
      <c r="J65" s="1"/>
    </row>
    <row r="66" spans="1:10" x14ac:dyDescent="0.25">
      <c r="A66" s="17">
        <v>44576</v>
      </c>
      <c r="B66" s="18" t="s">
        <v>934</v>
      </c>
      <c r="C66" s="19" t="s">
        <v>609</v>
      </c>
      <c r="D66" s="24"/>
      <c r="E66" s="20">
        <v>316</v>
      </c>
      <c r="F66" s="21"/>
      <c r="G66" s="19" t="s">
        <v>916</v>
      </c>
      <c r="H66" s="22" t="s">
        <v>19</v>
      </c>
      <c r="I66" s="1"/>
      <c r="J66" s="1"/>
    </row>
    <row r="67" spans="1:10" x14ac:dyDescent="0.25">
      <c r="A67" s="17">
        <v>44578</v>
      </c>
      <c r="B67" s="18" t="s">
        <v>935</v>
      </c>
      <c r="C67" s="19" t="s">
        <v>295</v>
      </c>
      <c r="D67" s="24"/>
      <c r="E67" s="20">
        <v>120</v>
      </c>
      <c r="F67" s="21"/>
      <c r="G67" s="19" t="s">
        <v>56</v>
      </c>
      <c r="H67" s="22" t="s">
        <v>19</v>
      </c>
      <c r="I67" s="1"/>
      <c r="J67" s="1"/>
    </row>
    <row r="68" spans="1:10" x14ac:dyDescent="0.25">
      <c r="A68" s="17">
        <v>44581</v>
      </c>
      <c r="B68" s="18" t="s">
        <v>936</v>
      </c>
      <c r="C68" s="19" t="s">
        <v>295</v>
      </c>
      <c r="D68" s="24"/>
      <c r="E68" s="20">
        <v>120</v>
      </c>
      <c r="F68" s="21"/>
      <c r="G68" s="19" t="s">
        <v>56</v>
      </c>
      <c r="H68" s="22" t="s">
        <v>19</v>
      </c>
      <c r="I68" s="1"/>
      <c r="J68" s="1"/>
    </row>
    <row r="69" spans="1:10" x14ac:dyDescent="0.25">
      <c r="A69" s="17">
        <v>44593</v>
      </c>
      <c r="B69" s="18" t="s">
        <v>937</v>
      </c>
      <c r="C69" s="19" t="s">
        <v>926</v>
      </c>
      <c r="D69" s="24"/>
      <c r="E69" s="20">
        <v>1200</v>
      </c>
      <c r="F69" s="21"/>
      <c r="G69" s="19" t="s">
        <v>927</v>
      </c>
      <c r="H69" s="22" t="s">
        <v>19</v>
      </c>
      <c r="I69" s="1"/>
      <c r="J69" s="1"/>
    </row>
    <row r="70" spans="1:10" x14ac:dyDescent="0.25">
      <c r="A70" s="17">
        <v>44599</v>
      </c>
      <c r="B70" s="18" t="s">
        <v>938</v>
      </c>
      <c r="C70" s="19" t="s">
        <v>295</v>
      </c>
      <c r="D70" s="24"/>
      <c r="E70" s="20">
        <v>240</v>
      </c>
      <c r="F70" s="21"/>
      <c r="G70" s="19" t="s">
        <v>56</v>
      </c>
      <c r="H70" s="22" t="s">
        <v>19</v>
      </c>
      <c r="I70" s="1"/>
      <c r="J70" s="1"/>
    </row>
    <row r="71" spans="1:10" x14ac:dyDescent="0.25">
      <c r="A71" s="17">
        <v>44606</v>
      </c>
      <c r="B71" s="18" t="s">
        <v>939</v>
      </c>
      <c r="C71" s="19" t="s">
        <v>64</v>
      </c>
      <c r="D71" s="24"/>
      <c r="E71" s="20">
        <v>130</v>
      </c>
      <c r="F71" s="21"/>
      <c r="G71" s="19" t="s">
        <v>363</v>
      </c>
      <c r="H71" s="22" t="s">
        <v>19</v>
      </c>
      <c r="I71" s="1"/>
      <c r="J71" s="1"/>
    </row>
    <row r="72" spans="1:10" x14ac:dyDescent="0.25">
      <c r="A72" s="17">
        <v>44613</v>
      </c>
      <c r="B72" s="18" t="s">
        <v>940</v>
      </c>
      <c r="C72" s="19" t="s">
        <v>609</v>
      </c>
      <c r="D72" s="24"/>
      <c r="E72" s="20">
        <v>1479</v>
      </c>
      <c r="F72" s="21"/>
      <c r="G72" s="19" t="s">
        <v>868</v>
      </c>
      <c r="H72" s="22" t="s">
        <v>19</v>
      </c>
      <c r="I72" s="1"/>
      <c r="J72" s="1"/>
    </row>
    <row r="73" spans="1:10" x14ac:dyDescent="0.25">
      <c r="A73" s="17">
        <v>44623</v>
      </c>
      <c r="B73" s="18" t="s">
        <v>941</v>
      </c>
      <c r="C73" s="19" t="s">
        <v>926</v>
      </c>
      <c r="D73" s="24"/>
      <c r="E73" s="20">
        <v>1400</v>
      </c>
      <c r="F73" s="21"/>
      <c r="G73" s="19" t="s">
        <v>927</v>
      </c>
      <c r="H73" s="22" t="s">
        <v>19</v>
      </c>
      <c r="I73" s="1"/>
      <c r="J73" s="1"/>
    </row>
    <row r="74" spans="1:10" x14ac:dyDescent="0.25">
      <c r="A74" s="17">
        <v>44629</v>
      </c>
      <c r="B74" s="18" t="s">
        <v>942</v>
      </c>
      <c r="C74" s="19" t="s">
        <v>64</v>
      </c>
      <c r="D74" s="24"/>
      <c r="E74" s="20">
        <v>120</v>
      </c>
      <c r="F74" s="21"/>
      <c r="G74" s="19" t="s">
        <v>363</v>
      </c>
      <c r="H74" s="22" t="s">
        <v>19</v>
      </c>
      <c r="I74" s="1"/>
      <c r="J74" s="1"/>
    </row>
    <row r="75" spans="1:10" x14ac:dyDescent="0.25">
      <c r="A75" s="17">
        <v>44631</v>
      </c>
      <c r="B75" s="18" t="s">
        <v>943</v>
      </c>
      <c r="C75" s="19" t="s">
        <v>295</v>
      </c>
      <c r="D75" s="24"/>
      <c r="E75" s="20">
        <v>360</v>
      </c>
      <c r="F75" s="21"/>
      <c r="G75" s="19" t="s">
        <v>56</v>
      </c>
      <c r="H75" s="22" t="s">
        <v>19</v>
      </c>
      <c r="I75" s="1"/>
      <c r="J75" s="1"/>
    </row>
    <row r="76" spans="1:10" x14ac:dyDescent="0.25">
      <c r="A76" s="17">
        <v>44635</v>
      </c>
      <c r="B76" s="18"/>
      <c r="C76" s="19" t="s">
        <v>42</v>
      </c>
      <c r="D76" s="24">
        <f>10000-5500</f>
        <v>4500</v>
      </c>
      <c r="E76" s="20"/>
      <c r="F76" s="21" t="s">
        <v>18</v>
      </c>
      <c r="G76" s="19" t="s">
        <v>19</v>
      </c>
      <c r="H76" s="22" t="s">
        <v>19</v>
      </c>
      <c r="I76" s="1"/>
      <c r="J76" s="1"/>
    </row>
    <row r="77" spans="1:10" x14ac:dyDescent="0.25">
      <c r="A77" s="17">
        <v>44645</v>
      </c>
      <c r="B77" s="18" t="s">
        <v>944</v>
      </c>
      <c r="C77" s="19" t="s">
        <v>872</v>
      </c>
      <c r="D77" s="24"/>
      <c r="E77" s="20">
        <v>238</v>
      </c>
      <c r="F77" s="21"/>
      <c r="G77" s="19" t="s">
        <v>843</v>
      </c>
      <c r="H77" s="22" t="s">
        <v>19</v>
      </c>
      <c r="I77" s="1"/>
      <c r="J77" s="1"/>
    </row>
    <row r="78" spans="1:10" x14ac:dyDescent="0.25">
      <c r="A78" s="17">
        <v>44645</v>
      </c>
      <c r="B78" s="18" t="s">
        <v>945</v>
      </c>
      <c r="C78" s="19" t="s">
        <v>295</v>
      </c>
      <c r="D78" s="24"/>
      <c r="E78" s="20">
        <v>270</v>
      </c>
      <c r="F78" s="21"/>
      <c r="G78" s="19" t="s">
        <v>56</v>
      </c>
      <c r="H78" s="22" t="s">
        <v>19</v>
      </c>
      <c r="I78" s="1"/>
      <c r="J78" s="33"/>
    </row>
    <row r="79" spans="1:10" x14ac:dyDescent="0.25">
      <c r="A79" s="2" t="s">
        <v>291</v>
      </c>
      <c r="B79" s="2">
        <f>SUBTOTAL(103,Table13678[Receipt No.])</f>
        <v>63</v>
      </c>
      <c r="C79" s="3"/>
      <c r="D79" s="28">
        <f>SUBTOTAL(109,Table13678[Amount Deposited])</f>
        <v>47665</v>
      </c>
      <c r="E79" s="27">
        <f>SUBTOTAL(109,Table13678[Amount Withdrawn])</f>
        <v>46656</v>
      </c>
      <c r="F79" s="33">
        <f>Table13678[[#Totals],[Amount Deposited]]-Table13678[[#Totals],[Amount Withdrawn]]</f>
        <v>1009</v>
      </c>
      <c r="G79" s="3"/>
      <c r="H79" s="4"/>
      <c r="I79" s="1"/>
      <c r="J79" s="1"/>
    </row>
  </sheetData>
  <mergeCells count="3">
    <mergeCell ref="A1:G1"/>
    <mergeCell ref="A3:C3"/>
    <mergeCell ref="F3:G3"/>
  </mergeCells>
  <phoneticPr fontId="16" type="noConversion"/>
  <conditionalFormatting sqref="E3">
    <cfRule type="cellIs" dxfId="15" priority="1" stopIfTrue="1" operator="lessThan">
      <formula>0</formula>
    </cfRule>
  </conditionalFormatting>
  <dataValidations count="1">
    <dataValidation type="list" allowBlank="1" showInputMessage="1" showErrorMessage="1" sqref="F34 F50:F53 F36 F6:F29" xr:uid="{C2F3FFC9-CF4C-475A-82CE-1E0CFF20694D}">
      <formula1>$J$1:$J$13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1aebbf00-b20e-447e-89b2-07cb1eb45804" xsi:nil="true"/>
    <TaxCatchAll xmlns="0e2e20c4-915d-4fd0-ac41-fe4a9dab9496" xsi:nil="true"/>
    <_ip_UnifiedCompliancePolicyUIAction xmlns="http://schemas.microsoft.com/sharepoint/v3" xsi:nil="true"/>
    <Remarks xmlns="1aebbf00-b20e-447e-89b2-07cb1eb45804" xsi:nil="true"/>
    <lcf76f155ced4ddcb4097134ff3c332f xmlns="1aebbf00-b20e-447e-89b2-07cb1eb45804">
      <Terms xmlns="http://schemas.microsoft.com/office/infopath/2007/PartnerControls"/>
    </lcf76f155ced4ddcb4097134ff3c332f>
    <Paid xmlns="1aebbf00-b20e-447e-89b2-07cb1eb45804">Yes</Paid>
    <Paid_x0020_by xmlns="1aebbf00-b20e-447e-89b2-07cb1eb45804" xsi:nil="true"/>
    <Expense_x0020_date xmlns="1aebbf00-b20e-447e-89b2-07cb1eb45804" xsi:nil="true"/>
    <_ip_UnifiedCompliancePolicyProperties xmlns="http://schemas.microsoft.com/sharepoint/v3" xsi:nil="true"/>
    <Paid_x0020_date xmlns="1aebbf00-b20e-447e-89b2-07cb1eb45804" xsi:nil="true"/>
    <Voucher_x0020_Ref xmlns="1aebbf00-b20e-447e-89b2-07cb1eb45804" xsi:nil="true"/>
    <Accounted xmlns="1aebbf00-b20e-447e-89b2-07cb1eb45804">No</Account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022ECE254C3C4881526E01C6E38A76" ma:contentTypeVersion="27" ma:contentTypeDescription="Create a new document." ma:contentTypeScope="" ma:versionID="b8f13cfbca3b99b7595aa10cd513b9af">
  <xsd:schema xmlns:xsd="http://www.w3.org/2001/XMLSchema" xmlns:xs="http://www.w3.org/2001/XMLSchema" xmlns:p="http://schemas.microsoft.com/office/2006/metadata/properties" xmlns:ns1="http://schemas.microsoft.com/sharepoint/v3" xmlns:ns2="1aebbf00-b20e-447e-89b2-07cb1eb45804" xmlns:ns3="c5c24acf-8734-4b59-a9c6-52f24d04b601" xmlns:ns4="0e2e20c4-915d-4fd0-ac41-fe4a9dab9496" targetNamespace="http://schemas.microsoft.com/office/2006/metadata/properties" ma:root="true" ma:fieldsID="f6c1da616d1348b0dfe3e056f58aa1e6" ns1:_="" ns2:_="" ns3:_="" ns4:_="">
    <xsd:import namespace="http://schemas.microsoft.com/sharepoint/v3"/>
    <xsd:import namespace="1aebbf00-b20e-447e-89b2-07cb1eb45804"/>
    <xsd:import namespace="c5c24acf-8734-4b59-a9c6-52f24d04b601"/>
    <xsd:import namespace="0e2e20c4-915d-4fd0-ac41-fe4a9dab9496"/>
    <xsd:element name="properties">
      <xsd:complexType>
        <xsd:sequence>
          <xsd:element name="documentManagement">
            <xsd:complexType>
              <xsd:all>
                <xsd:element ref="ns2:Accounted" minOccurs="0"/>
                <xsd:element ref="ns2:Paid" minOccurs="0"/>
                <xsd:element ref="ns2:Paid_x0020_by" minOccurs="0"/>
                <xsd:element ref="ns2:Paid_x0020_date" minOccurs="0"/>
                <xsd:element ref="ns2:Voucher_x0020_Ref" minOccurs="0"/>
                <xsd:element ref="ns2:Remarks" minOccurs="0"/>
                <xsd:element ref="ns2:Expense_x0020_date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Date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bbf00-b20e-447e-89b2-07cb1eb45804" elementFormDefault="qualified">
    <xsd:import namespace="http://schemas.microsoft.com/office/2006/documentManagement/types"/>
    <xsd:import namespace="http://schemas.microsoft.com/office/infopath/2007/PartnerControls"/>
    <xsd:element name="Accounted" ma:index="8" nillable="true" ma:displayName="Accounted" ma:default="No" ma:format="Dropdown" ma:internalName="Accounted">
      <xsd:simpleType>
        <xsd:restriction base="dms:Choice">
          <xsd:enumeration value="No"/>
          <xsd:enumeration value="Yes"/>
        </xsd:restriction>
      </xsd:simpleType>
    </xsd:element>
    <xsd:element name="Paid" ma:index="9" nillable="true" ma:displayName="Paid" ma:default="Yes" ma:format="Dropdown" ma:internalName="Paid">
      <xsd:simpleType>
        <xsd:restriction base="dms:Choice">
          <xsd:enumeration value="Yes"/>
          <xsd:enumeration value="No"/>
          <xsd:enumeration value="Kept Pending"/>
        </xsd:restriction>
      </xsd:simpleType>
    </xsd:element>
    <xsd:element name="Paid_x0020_by" ma:index="10" nillable="true" ma:displayName="Incurred by" ma:internalName="Paid_x0020_by">
      <xsd:simpleType>
        <xsd:restriction base="dms:Text">
          <xsd:maxLength value="255"/>
        </xsd:restriction>
      </xsd:simpleType>
    </xsd:element>
    <xsd:element name="Paid_x0020_date" ma:index="11" nillable="true" ma:displayName="Paid date" ma:format="DateOnly" ma:internalName="Paid_x0020_date">
      <xsd:simpleType>
        <xsd:restriction base="dms:DateTime"/>
      </xsd:simpleType>
    </xsd:element>
    <xsd:element name="Voucher_x0020_Ref" ma:index="12" nillable="true" ma:displayName="Voucher Ref" ma:internalName="Voucher_x0020_Ref">
      <xsd:simpleType>
        <xsd:restriction base="dms:Text">
          <xsd:maxLength value="255"/>
        </xsd:restriction>
      </xsd:simpleType>
    </xsd:element>
    <xsd:element name="Remarks" ma:index="13" nillable="true" ma:displayName="Remarks" ma:internalName="Remarks">
      <xsd:simpleType>
        <xsd:restriction base="dms:Text">
          <xsd:maxLength value="255"/>
        </xsd:restriction>
      </xsd:simpleType>
    </xsd:element>
    <xsd:element name="Expense_x0020_date" ma:index="14" nillable="true" ma:displayName="Entry date" ma:format="DateOnly" ma:internalName="Expense_x0020_date">
      <xsd:simpleType>
        <xsd:restriction base="dms:DateTim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fc37aa17-636f-4500-9bb3-b6d576a787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24acf-8734-4b59-a9c6-52f24d04b60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e20c4-915d-4fd0-ac41-fe4a9dab9496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88d679f4-b6c4-4a45-ab98-ca9b438bc1f3}" ma:internalName="TaxCatchAll" ma:showField="CatchAllData" ma:web="0e2e20c4-915d-4fd0-ac41-fe4a9dab94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5819BC-B8DE-4703-8E03-713856731CC1}">
  <ds:schemaRefs>
    <ds:schemaRef ds:uri="http://schemas.microsoft.com/office/2006/metadata/properties"/>
    <ds:schemaRef ds:uri="http://schemas.microsoft.com/office/infopath/2007/PartnerControls"/>
    <ds:schemaRef ds:uri="1aebbf00-b20e-447e-89b2-07cb1eb45804"/>
    <ds:schemaRef ds:uri="0e2e20c4-915d-4fd0-ac41-fe4a9dab949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C2D4B2A-4534-41DE-99A1-70175F049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ebbf00-b20e-447e-89b2-07cb1eb45804"/>
    <ds:schemaRef ds:uri="c5c24acf-8734-4b59-a9c6-52f24d04b601"/>
    <ds:schemaRef ds:uri="0e2e20c4-915d-4fd0-ac41-fe4a9dab94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3E6B2D-7719-43E4-8F62-6DE1F178C0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Petty Cash Log - '17-18</vt:lpstr>
      <vt:lpstr>Petty Cash Log -'18-19</vt:lpstr>
      <vt:lpstr>Petty Cash Log -'19-20</vt:lpstr>
      <vt:lpstr>Petty Cash Log -'20-21</vt:lpstr>
      <vt:lpstr>10xDS WLL Petty Cash log - 2025</vt:lpstr>
      <vt:lpstr>Petty Cash log - 21-22</vt:lpstr>
      <vt:lpstr>'Petty Cash Log - ''17-18'!Print_Titles</vt:lpstr>
      <vt:lpstr>'Petty Cash Log -''18-19'!Print_Titles</vt:lpstr>
      <vt:lpstr>'Petty Cash Log -''19-20'!Print_Titles</vt:lpstr>
      <vt:lpstr>'Petty Cash Log -''20-21'!Print_Titles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Anoop V Thomas</dc:creator>
  <cp:keywords/>
  <dc:description/>
  <cp:lastModifiedBy>Anitta Shaji</cp:lastModifiedBy>
  <cp:revision/>
  <dcterms:created xsi:type="dcterms:W3CDTF">2017-03-08T14:32:38Z</dcterms:created>
  <dcterms:modified xsi:type="dcterms:W3CDTF">2026-04-24T06:33:59Z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TC010197951033</vt:lpwstr>
  </property>
  <property fmtid="{D5CDD505-2E9C-101B-9397-08002B2CF9AE}" pid="3" name="ContentTypeId">
    <vt:lpwstr>0x01010070022ECE254C3C4881526E01C6E38A76</vt:lpwstr>
  </property>
  <property fmtid="{D5CDD505-2E9C-101B-9397-08002B2CF9AE}" pid="4" name="Order">
    <vt:r8>11809900</vt:r8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MediaServiceImageTags">
    <vt:lpwstr/>
  </property>
</Properties>
</file>